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1095" windowWidth="24240" windowHeight="13020" tabRatio="600" firstSheet="0" activeTab="12" autoFilterDateGrouping="1"/>
  </bookViews>
  <sheets>
    <sheet xmlns:r="http://schemas.openxmlformats.org/officeDocument/2006/relationships" name="kWh Estimativa" sheetId="1" state="visible" r:id="rId1"/>
    <sheet xmlns:r="http://schemas.openxmlformats.org/officeDocument/2006/relationships" name="Model_test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Multispecies_test" sheetId="5" state="visible" r:id="rId5"/>
    <sheet xmlns:r="http://schemas.openxmlformats.org/officeDocument/2006/relationships" name="User_Parameters" sheetId="6" state="visible" r:id="rId6"/>
    <sheet xmlns:r="http://schemas.openxmlformats.org/officeDocument/2006/relationships" name="Location_Data" sheetId="7" state="visible" r:id="rId7"/>
    <sheet xmlns:r="http://schemas.openxmlformats.org/officeDocument/2006/relationships" name="Framework" sheetId="8" state="visible" r:id="rId8"/>
    <sheet xmlns:r="http://schemas.openxmlformats.org/officeDocument/2006/relationships" name="System_Parameters" sheetId="9" state="visible" r:id="rId9"/>
    <sheet xmlns:r="http://schemas.openxmlformats.org/officeDocument/2006/relationships" name="Investment" sheetId="10" state="visible" r:id="rId10"/>
    <sheet xmlns:r="http://schemas.openxmlformats.org/officeDocument/2006/relationships" name="Funding" sheetId="11" state="visible" r:id="rId11"/>
    <sheet xmlns:r="http://schemas.openxmlformats.org/officeDocument/2006/relationships" name="Revenues" sheetId="12" state="visible" r:id="rId12"/>
    <sheet xmlns:r="http://schemas.openxmlformats.org/officeDocument/2006/relationships" name="Costs" sheetId="13" state="visible" r:id="rId13"/>
  </sheets>
  <definedNames>
    <definedName name="_xlchart.v1.0" hidden="1">Framework!$AE$3:$AE$13</definedName>
    <definedName name="_xlchart.v1.1" hidden="1">Framework!$AF$2</definedName>
    <definedName name="_xlchart.v1.2" hidden="1">Framework!$AF$3:$AF$13</definedName>
    <definedName name="_xlchart.v1.3" hidden="1">Framework!$AE$3:$AE$13</definedName>
    <definedName name="_xlchart.v1.4" hidden="1">Framework!$AF$2</definedName>
    <definedName name="_xlchart.v1.5" hidden="1">Framework!$AF$3:$AF$13</definedName>
    <definedName name="CHOSEN_FISH">Framework!$M$10</definedName>
    <definedName name="CHOSEN_GREEN">Framework!$M$9</definedName>
    <definedName name="CHOSEN_REGION">Framework!$M$11</definedName>
    <definedName name="COST_OF_CAPITAL">Funding!$D$5</definedName>
    <definedName name="DEBT_INTEREST_RATE">Funding!$D$8</definedName>
    <definedName name="FISH_TANK">System_Parameters!$Q$10</definedName>
    <definedName name="HYDROPONIC_AREA">System_Parameters!$P$4</definedName>
    <definedName name="HYDROPONICS_UNIT">System_Parameters!$P$5</definedName>
    <definedName name="MAINTENANCE_PERCENTAGE">Investment!$B$6</definedName>
    <definedName name="PRODUCTIVITY_FACTOR">Investment!$H$7</definedName>
    <definedName name="RAS_AREA">System_Parameters!$P$8</definedName>
    <definedName name="RAS_VOLUME">System_Parameters!$P$10</definedName>
    <definedName name="TOTAL_AREA">Framework!$M$6</definedName>
    <definedName name="WACC">Funding!$L$5</definedName>
    <definedName name="YEAR_FISH_PRODUCTION">System_Parameters!$R$8</definedName>
    <definedName name="YEAR_GREEN_PRODUCTION">System_Parameters!$R$4</definedName>
    <definedName name="PARTS_PERCENTAGE">Investment!$B$7</definedName>
    <definedName name="solver_adj" localSheetId="1" hidden="1">Model_test!$D$5:$D$6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Model_test!$D$3</definedName>
    <definedName name="solver_lhs2" localSheetId="1" hidden="1">Model_test!$D$5:$D$6</definedName>
    <definedName name="solver_lhs3" localSheetId="1" hidden="1">Model_test!$H$3</definedName>
    <definedName name="solver_lhs4" localSheetId="1" hidden="1">Model_test!$H$3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Model_test!$I$3</definedName>
    <definedName name="solver_pre" localSheetId="1" hidden="1">0.000001</definedName>
    <definedName name="solver_rbv" localSheetId="1" hidden="1">2</definedName>
    <definedName name="solver_rel1" localSheetId="1" hidden="1">2</definedName>
    <definedName name="solver_rel2" localSheetId="1" hidden="1">5</definedName>
    <definedName name="solver_rel3" localSheetId="1" hidden="1">1</definedName>
    <definedName name="solver_rel4" localSheetId="1" hidden="1">1</definedName>
    <definedName name="solver_rhs1" localSheetId="1" hidden="1">Model_test!$D$2</definedName>
    <definedName name="solver_rhs2" localSheetId="1" hidden="1">"binary"</definedName>
    <definedName name="solver_rhs3" localSheetId="1" hidden="1">Model_test!$H$2</definedName>
    <definedName name="solver_rhs4" localSheetId="1" hidden="1">Model_test!$H$2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solver_adj" localSheetId="2" hidden="1">Alternatives!$D$5:$D$6,Alternatives!$F$5:$F$6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Alternatives!$D$3</definedName>
    <definedName name="solver_lhs2" localSheetId="2" hidden="1">Alternatives!$D$5</definedName>
    <definedName name="solver_lhs3" localSheetId="2" hidden="1">Alternatives!$D$6</definedName>
    <definedName name="solver_lhs4" localSheetId="2" hidden="1">Alternatives!$H$3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4</definedName>
    <definedName name="solver_nwt" localSheetId="2" hidden="1">1</definedName>
    <definedName name="solver_opt" localSheetId="2" hidden="1">Alternatives!$I$3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el2" localSheetId="2" hidden="1">5</definedName>
    <definedName name="solver_rel3" localSheetId="2" hidden="1">5</definedName>
    <definedName name="solver_rel4" localSheetId="2" hidden="1">1</definedName>
    <definedName name="solver_rhs1" localSheetId="2" hidden="1">Alternatives!$D$2</definedName>
    <definedName name="solver_rhs2" localSheetId="2" hidden="1">"binary"</definedName>
    <definedName name="solver_rhs3" localSheetId="2" hidden="1">"binary"</definedName>
    <definedName name="solver_rhs4" localSheetId="2" hidden="1">Alternatives!$H$2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solver_adj" localSheetId="4" hidden="1">Multispecies_test!$J$12:$J$22</definedName>
    <definedName name="solver_cvg" localSheetId="4" hidden="1">0.0001</definedName>
    <definedName name="solver_drv" localSheetId="4" hidden="1">1</definedName>
    <definedName name="solver_eng" localSheetId="4" hidden="1">2</definedName>
    <definedName name="solver_est" localSheetId="4" hidden="1">1</definedName>
    <definedName name="solver_itr" localSheetId="4" hidden="1">2147483647</definedName>
    <definedName name="solver_lhs1" localSheetId="4" hidden="1">Multispecies_test!$L$6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1</definedName>
    <definedName name="solver_nod" localSheetId="4" hidden="1">2147483647</definedName>
    <definedName name="solver_num" localSheetId="4" hidden="1">1</definedName>
    <definedName name="solver_nwt" localSheetId="4" hidden="1">1</definedName>
    <definedName name="solver_opt" localSheetId="4" hidden="1">Multispecies_test!$L$3</definedName>
    <definedName name="solver_pre" localSheetId="4" hidden="1">0.000001</definedName>
    <definedName name="solver_rbv" localSheetId="4" hidden="1">1</definedName>
    <definedName name="solver_rel1" localSheetId="4" hidden="1">1</definedName>
    <definedName name="solver_rhs1" localSheetId="4" hidden="1">Multispecies_test!$N$12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  <definedName name="solver_adj" localSheetId="7" hidden="1">Framework!$M$6</definedName>
    <definedName name="solver_cvg" localSheetId="7" hidden="1">0.0001</definedName>
    <definedName name="solver_drv" localSheetId="7" hidden="1">1</definedName>
    <definedName name="solver_eng" localSheetId="7" hidden="1">2</definedName>
    <definedName name="solver_est" localSheetId="7" hidden="1">1</definedName>
    <definedName name="solver_itr" localSheetId="7" hidden="1">2147483647</definedName>
    <definedName name="solver_lhs1" localSheetId="7" hidden="1">Framework!$M$5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nwt" localSheetId="7" hidden="1">1</definedName>
    <definedName name="solver_opt" localSheetId="7" hidden="1">Framework!$S$20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hs1" localSheetId="7" hidden="1">Framework!$N$5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0</definedName>
    <definedName name="solver_ver" localSheetId="7" hidden="1">3</definedName>
    <definedName name="PARTS_PERCENTAGE" localSheetId="9">Investment!$B$7</definedName>
    <definedName name="PRODUCTIVITY_FACTOR" localSheetId="9">Investment!$H$7</definedName>
    <definedName name="solver_adj" localSheetId="11" hidden="1">Revenues!#REF!</definedName>
    <definedName name="solver_cvg" localSheetId="11" hidden="1">0.0001</definedName>
    <definedName name="solver_drv" localSheetId="11" hidden="1">1</definedName>
    <definedName name="solver_eng" localSheetId="11" hidden="1">1</definedName>
    <definedName name="solver_est" localSheetId="11" hidden="1">1</definedName>
    <definedName name="solver_itr" localSheetId="11" hidden="1">2147483647</definedName>
    <definedName name="solver_mip" localSheetId="11" hidden="1">2147483647</definedName>
    <definedName name="solver_mni" localSheetId="11" hidden="1">30</definedName>
    <definedName name="solver_mrt" localSheetId="11" hidden="1">0.075</definedName>
    <definedName name="solver_msl" localSheetId="11" hidden="1">2</definedName>
    <definedName name="solver_neg" localSheetId="11" hidden="1">1</definedName>
    <definedName name="solver_nod" localSheetId="11" hidden="1">2147483647</definedName>
    <definedName name="solver_num" localSheetId="11" hidden="1">0</definedName>
    <definedName name="solver_nwt" localSheetId="11" hidden="1">1</definedName>
    <definedName name="solver_opt" localSheetId="11" hidden="1">Revenues!#REF!</definedName>
    <definedName name="solver_pre" localSheetId="11" hidden="1">0.000001</definedName>
    <definedName name="solver_rbv" localSheetId="11" hidden="1">1</definedName>
    <definedName name="solver_rlx" localSheetId="11" hidden="1">2</definedName>
    <definedName name="solver_rsd" localSheetId="11" hidden="1">0</definedName>
    <definedName name="solver_scl" localSheetId="11" hidden="1">1</definedName>
    <definedName name="solver_sho" localSheetId="11" hidden="1">2</definedName>
    <definedName name="solver_ssz" localSheetId="11" hidden="1">100</definedName>
    <definedName name="solver_tim" localSheetId="11" hidden="1">2147483647</definedName>
    <definedName name="solver_tol" localSheetId="11" hidden="1">0.01</definedName>
    <definedName name="solver_typ" localSheetId="11" hidden="1">3</definedName>
    <definedName name="solver_val" localSheetId="11" hidden="1">0</definedName>
    <definedName name="solver_ver" localSheetId="11" hidden="1">3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-[$$-409]* #,##0_ ;_-[$$-409]* \-#,##0\ ;_-[$$-409]* &quot;-&quot;??_ ;_-@_ "/>
    <numFmt numFmtId="165" formatCode="_-[$R$-416]* #,##0_-;\-[$R$-416]* #,##0_-;_-[$R$-416]* &quot;-&quot;??_-;_-@_-"/>
    <numFmt numFmtId="166" formatCode="_-&quot;R$&quot;* #,##0_-;\-&quot;R$&quot;* #,##0_-;_-&quot;R$&quot;* &quot;-&quot;??_-;_-@_-"/>
    <numFmt numFmtId="167" formatCode="0.0%"/>
    <numFmt numFmtId="168" formatCode="#,##0.0"/>
    <numFmt numFmtId="169" formatCode="_-[$$-409]* #,##0.00_ ;_-[$$-409]* \-#,##0.00\ ;_-[$$-409]* &quot;-&quot;??_ ;_-@_ "/>
    <numFmt numFmtId="170" formatCode="0.0"/>
    <numFmt numFmtId="171" formatCode="[$$-409]#,##0"/>
    <numFmt numFmtId="172" formatCode="0.000"/>
    <numFmt numFmtId="173" formatCode="mmm"/>
    <numFmt numFmtId="174" formatCode="_-[$R$-416]* #,##0.00_-;\-[$R$-416]* #,##0.00_-;_-[$R$-416]* &quot;-&quot;??_-;_-@_-"/>
    <numFmt numFmtId="175" formatCode="_-&quot;R$&quot;* #,##0.000_-;\-&quot;R$&quot;* #,##0.000_-;_-&quot;R$&quot;* &quot;-&quot;??_-;_-@_-"/>
    <numFmt numFmtId="176" formatCode="_-&quot;R$&quot;* #,##0.00_-;\-&quot;R$&quot;* #,##0.00_-;_-&quot;R$&quot;* &quot;-&quot;??_-;_-@_-"/>
  </numFmts>
  <fonts count="6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Segoe UI"/>
      <family val="2"/>
      <color rgb="FF222222"/>
      <sz val="8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4"/>
    </font>
    <font>
      <name val="Calibri"/>
      <family val="2"/>
      <b val="1"/>
      <sz val="14"/>
    </font>
    <font>
      <name val="Aptos Narrow"/>
      <family val="2"/>
      <sz val="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rgb="FF000000"/>
      <sz val="10"/>
      <scheme val="minor"/>
    </font>
    <font>
      <name val="Aptos Narrow"/>
      <family val="2"/>
      <b val="1"/>
      <color rgb="FFC00000"/>
      <sz val="14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0"/>
      <sz val="14"/>
      <scheme val="minor"/>
    </font>
    <font>
      <name val="Aptos Narrow"/>
      <family val="2"/>
      <b val="1"/>
      <color theme="0"/>
      <sz val="16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theme="1"/>
      <sz val="26"/>
      <scheme val="minor"/>
    </font>
    <font>
      <name val="Aptos Narrow"/>
      <family val="2"/>
      <color theme="1"/>
      <sz val="16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family val="2"/>
      <b val="1"/>
      <color theme="1"/>
      <sz val="72"/>
      <scheme val="minor"/>
    </font>
    <font>
      <name val="Aptos Narrow"/>
      <family val="2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C00000"/>
      <sz val="11"/>
      <scheme val="minor"/>
    </font>
    <font>
      <name val="Aptos Narrow"/>
      <family val="2"/>
      <color theme="6"/>
      <sz val="11"/>
      <scheme val="minor"/>
    </font>
    <font>
      <name val="Aptos Narrow"/>
      <family val="2"/>
      <color theme="1"/>
      <sz val="10"/>
      <scheme val="minor"/>
    </font>
    <font>
      <name val="Aptos Narrow"/>
      <family val="2"/>
      <i val="1"/>
      <color theme="1"/>
      <sz val="10"/>
      <scheme val="minor"/>
    </font>
    <font>
      <name val="Aptos Narrow"/>
      <family val="2"/>
      <i val="1"/>
      <color theme="1"/>
      <sz val="9"/>
      <scheme val="minor"/>
    </font>
    <font>
      <name val="Georgia"/>
      <family val="1"/>
      <color rgb="FF1F1F1F"/>
      <sz val="12"/>
    </font>
    <font>
      <name val="Georgia"/>
      <family val="1"/>
      <color rgb="FF1F1F1F"/>
      <sz val="9"/>
    </font>
    <font>
      <name val="Aptos Narrow"/>
      <family val="2"/>
      <b val="1"/>
      <i val="1"/>
      <color theme="1"/>
      <sz val="9"/>
      <scheme val="minor"/>
    </font>
    <font>
      <name val="Arial"/>
      <family val="2"/>
      <color rgb="FF898781"/>
      <sz val="5"/>
    </font>
    <font>
      <name val="Arial"/>
      <family val="2"/>
      <color rgb="FF184F95"/>
      <sz val="4"/>
    </font>
    <font>
      <name val="Arial"/>
      <family val="2"/>
      <color rgb="FF52514E"/>
      <sz val="5"/>
    </font>
    <font>
      <name val="Arial"/>
      <family val="2"/>
      <color rgb="FF0B0B0B"/>
      <sz val="5"/>
    </font>
    <font>
      <name val="Aptos Narrow"/>
      <family val="2"/>
      <color theme="0"/>
      <sz val="20"/>
      <scheme val="minor"/>
    </font>
    <font>
      <name val="Aptos Narrow"/>
      <family val="2"/>
      <b val="1"/>
      <color theme="6"/>
      <sz val="11"/>
      <scheme val="minor"/>
    </font>
    <font>
      <name val="Aptos Narrow"/>
      <family val="2"/>
      <i val="1"/>
      <color theme="0" tint="-0.249977111117893"/>
      <sz val="11"/>
      <scheme val="minor"/>
    </font>
    <font>
      <name val="Georgia"/>
      <family val="1"/>
      <color rgb="FF1F1F1F"/>
      <sz val="6"/>
    </font>
    <font>
      <name val="Georgia"/>
      <family val="1"/>
      <color rgb="FF1F1F1F"/>
      <sz val="5"/>
    </font>
    <font>
      <name val="Aptos Narrow"/>
      <family val="2"/>
      <color theme="10"/>
      <sz val="11"/>
      <u val="single"/>
      <scheme val="minor"/>
    </font>
    <font>
      <name val="Aptos Narrow"/>
      <family val="2"/>
      <color theme="1"/>
      <sz val="24"/>
      <scheme val="minor"/>
    </font>
    <font>
      <name val="Aptos Narrow"/>
      <family val="2"/>
      <i val="1"/>
      <color rgb="FFFF0000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000000"/>
      <sz val="10"/>
      <scheme val="minor"/>
    </font>
    <font>
      <name val="Aptos Narrow"/>
      <family val="2"/>
      <sz val="18"/>
      <scheme val="minor"/>
    </font>
    <font>
      <name val="Aptos Narrow"/>
      <family val="2"/>
      <color theme="3"/>
      <sz val="11"/>
      <scheme val="minor"/>
    </font>
    <font>
      <name val="Arial Nova Light"/>
      <family val="2"/>
      <b val="1"/>
      <color rgb="FF000000"/>
      <sz val="14"/>
    </font>
    <font>
      <name val="Arial Nova Light"/>
      <family val="2"/>
      <color theme="1"/>
      <sz val="11"/>
    </font>
    <font>
      <name val="Arial Nova Light"/>
      <family val="2"/>
      <b val="1"/>
      <color theme="1"/>
      <sz val="11"/>
    </font>
    <font>
      <name val="Arial Nova Light"/>
      <family val="2"/>
      <color theme="1"/>
      <sz val="12"/>
    </font>
    <font>
      <name val="Arial Nova Light"/>
      <family val="2"/>
      <b val="1"/>
      <color theme="1"/>
      <sz val="12"/>
    </font>
    <font>
      <name val="Arial Nova Light"/>
      <family val="2"/>
      <b val="1"/>
      <color theme="1"/>
      <sz val="14"/>
    </font>
    <font>
      <name val="Aptos Narrow"/>
      <family val="2"/>
      <b val="1"/>
      <color theme="0"/>
      <sz val="26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i val="1"/>
      <color rgb="FF000000"/>
      <sz val="9"/>
    </font>
  </fonts>
  <fills count="2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2E7D32"/>
        <bgColor rgb="FF2E7D32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B5E20"/>
        <bgColor rgb="FF1B5E20"/>
      </patternFill>
    </fill>
    <fill>
      <patternFill patternType="solid">
        <fgColor rgb="FFC8E6C9"/>
        <bgColor rgb="FFC8E6C9"/>
      </patternFill>
    </fill>
    <fill>
      <patternFill patternType="solid">
        <fgColor rgb="FFFFF3CD"/>
        <bgColor rgb="FFFFF3CD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/>
      <diagonal/>
    </border>
  </borders>
  <cellStyleXfs count="6">
    <xf numFmtId="0" fontId="3" fillId="0" borderId="0"/>
    <xf numFmtId="44" fontId="3" fillId="0" borderId="0"/>
    <xf numFmtId="9" fontId="3" fillId="0" borderId="0"/>
    <xf numFmtId="176" fontId="3" fillId="0" borderId="0"/>
    <xf numFmtId="0" fontId="5" fillId="0" borderId="0"/>
    <xf numFmtId="0" fontId="45" fillId="0" borderId="0"/>
  </cellStyleXfs>
  <cellXfs count="36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1" fillId="0" borderId="1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 vertical="center" readingOrder="1"/>
    </xf>
    <xf numFmtId="0" fontId="11" fillId="0" borderId="0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0" pivotButton="0" quotePrefix="0" xfId="0"/>
    <xf numFmtId="0" fontId="0" fillId="10" borderId="0" pivotButton="0" quotePrefix="0" xfId="0"/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8" applyAlignment="1" pivotButton="0" quotePrefix="0" xfId="0">
      <alignment horizontal="center" wrapText="1"/>
    </xf>
    <xf numFmtId="0" fontId="21" fillId="0" borderId="0" applyAlignment="1" pivotButton="0" quotePrefix="0" xfId="0">
      <alignment wrapText="1"/>
    </xf>
    <xf numFmtId="0" fontId="21" fillId="0" borderId="8" applyAlignment="1" pivotButton="0" quotePrefix="0" xfId="0">
      <alignment wrapText="1"/>
    </xf>
    <xf numFmtId="0" fontId="21" fillId="0" borderId="0" applyAlignment="1" pivotButton="0" quotePrefix="0" xfId="0">
      <alignment horizontal="center" wrapText="1"/>
    </xf>
    <xf numFmtId="0" fontId="22" fillId="0" borderId="7" applyAlignment="1" pivotButton="0" quotePrefix="0" xfId="0">
      <alignment wrapText="1"/>
    </xf>
    <xf numFmtId="0" fontId="16" fillId="0" borderId="7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20" fillId="0" borderId="4" applyAlignment="1" pivotButton="0" quotePrefix="0" xfId="0">
      <alignment horizontal="center" vertical="top"/>
    </xf>
    <xf numFmtId="0" fontId="20" fillId="0" borderId="7" applyAlignment="1" pivotButton="0" quotePrefix="0" xfId="0">
      <alignment horizontal="center" vertical="top"/>
    </xf>
    <xf numFmtId="0" fontId="20" fillId="0" borderId="4" applyAlignment="1" pivotButton="0" quotePrefix="0" xfId="0">
      <alignment vertical="top"/>
    </xf>
    <xf numFmtId="0" fontId="20" fillId="0" borderId="5" applyAlignment="1" pivotButton="0" quotePrefix="0" xfId="0">
      <alignment vertical="top"/>
    </xf>
    <xf numFmtId="0" fontId="20" fillId="0" borderId="7" applyAlignment="1" pivotButton="0" quotePrefix="0" xfId="0">
      <alignment vertical="top"/>
    </xf>
    <xf numFmtId="0" fontId="20" fillId="0" borderId="0" applyAlignment="1" pivotButton="0" quotePrefix="0" xfId="0">
      <alignment vertical="top"/>
    </xf>
    <xf numFmtId="0" fontId="21" fillId="12" borderId="5" applyAlignment="1" pivotButton="0" quotePrefix="0" xfId="0">
      <alignment wrapText="1"/>
    </xf>
    <xf numFmtId="0" fontId="21" fillId="12" borderId="0" applyAlignment="1" pivotButton="0" quotePrefix="0" xfId="0">
      <alignment horizontal="center" wrapText="1"/>
    </xf>
    <xf numFmtId="0" fontId="21" fillId="12" borderId="0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16" fillId="12" borderId="7" applyAlignment="1" pivotButton="0" quotePrefix="0" xfId="0">
      <alignment horizontal="center" wrapText="1"/>
    </xf>
    <xf numFmtId="0" fontId="16" fillId="12" borderId="7" applyAlignment="1" pivotButton="0" quotePrefix="0" xfId="0">
      <alignment horizontal="center" wrapText="1"/>
    </xf>
    <xf numFmtId="0" fontId="16" fillId="12" borderId="7" applyAlignment="1" pivotButton="0" quotePrefix="0" xfId="0">
      <alignment wrapText="1"/>
    </xf>
    <xf numFmtId="0" fontId="16" fillId="12" borderId="9" applyAlignment="1" pivotButton="0" quotePrefix="0" xfId="0">
      <alignment wrapText="1"/>
    </xf>
    <xf numFmtId="0" fontId="0" fillId="4" borderId="7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4" borderId="7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18" fillId="11" borderId="0" applyAlignment="1" pivotButton="0" quotePrefix="0" xfId="0">
      <alignment horizontal="center" wrapText="1"/>
    </xf>
    <xf numFmtId="0" fontId="20" fillId="12" borderId="8" applyAlignment="1" pivotButton="0" quotePrefix="0" xfId="0">
      <alignment wrapText="1"/>
    </xf>
    <xf numFmtId="0" fontId="20" fillId="12" borderId="6" applyAlignment="1" pivotButton="0" quotePrefix="0" xfId="0">
      <alignment horizontal="center" vertical="center" wrapText="1"/>
    </xf>
    <xf numFmtId="0" fontId="20" fillId="12" borderId="4" applyAlignment="1" pivotButton="0" quotePrefix="0" xfId="0">
      <alignment horizontal="left" vertical="top"/>
    </xf>
    <xf numFmtId="0" fontId="20" fillId="12" borderId="5" applyAlignment="1" pivotButton="0" quotePrefix="0" xfId="0">
      <alignment horizontal="left" vertical="top"/>
    </xf>
    <xf numFmtId="0" fontId="20" fillId="12" borderId="7" applyAlignment="1" pivotButton="0" quotePrefix="0" xfId="0">
      <alignment horizontal="left" vertical="top"/>
    </xf>
    <xf numFmtId="0" fontId="20" fillId="12" borderId="0" applyAlignment="1" pivotButton="0" quotePrefix="0" xfId="0">
      <alignment horizontal="left" vertical="top"/>
    </xf>
    <xf numFmtId="0" fontId="21" fillId="12" borderId="5" applyAlignment="1" pivotButton="0" quotePrefix="0" xfId="0">
      <alignment horizontal="center" wrapText="1"/>
    </xf>
    <xf numFmtId="0" fontId="21" fillId="12" borderId="14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wrapText="1"/>
    </xf>
    <xf numFmtId="0" fontId="0" fillId="0" borderId="6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21" fillId="0" borderId="12" applyAlignment="1" pivotButton="0" quotePrefix="0" xfId="0">
      <alignment horizontal="center" wrapText="1"/>
    </xf>
    <xf numFmtId="0" fontId="21" fillId="12" borderId="12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9" fillId="13" borderId="0" pivotButton="0" quotePrefix="0" xfId="0"/>
    <xf numFmtId="0" fontId="0" fillId="13" borderId="0" pivotButton="0" quotePrefix="0" xfId="0"/>
    <xf numFmtId="165" fontId="0" fillId="0" borderId="0" pivotButton="0" quotePrefix="0" xfId="0"/>
    <xf numFmtId="1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9" fillId="10" borderId="0" pivotButton="0" quotePrefix="0" xfId="0"/>
    <xf numFmtId="0" fontId="0" fillId="10" borderId="0" pivotButton="0" quotePrefix="0" xfId="0"/>
    <xf numFmtId="166" fontId="12" fillId="0" borderId="0" pivotButton="0" quotePrefix="0" xfId="1"/>
    <xf numFmtId="0" fontId="12" fillId="0" borderId="0" pivotButton="0" quotePrefix="0" xfId="0"/>
    <xf numFmtId="0" fontId="13" fillId="0" borderId="0" pivotButton="0" quotePrefix="0" xfId="0"/>
    <xf numFmtId="0" fontId="0" fillId="14" borderId="0" pivotButton="0" quotePrefix="0" xfId="0"/>
    <xf numFmtId="0" fontId="28" fillId="0" borderId="0" pivotButton="0" quotePrefix="0" xfId="0"/>
    <xf numFmtId="0" fontId="29" fillId="5" borderId="0" pivotButton="0" quotePrefix="0" xfId="0"/>
    <xf numFmtId="10" fontId="29" fillId="5" borderId="0" applyAlignment="1" pivotButton="0" quotePrefix="0" xfId="2">
      <alignment horizontal="center"/>
    </xf>
    <xf numFmtId="10" fontId="29" fillId="5" borderId="8" applyAlignment="1" pivotButton="0" quotePrefix="0" xfId="2">
      <alignment horizontal="center"/>
    </xf>
    <xf numFmtId="10" fontId="1" fillId="15" borderId="11" applyAlignment="1" pivotButton="0" quotePrefix="0" xfId="0">
      <alignment horizontal="center"/>
    </xf>
    <xf numFmtId="167" fontId="29" fillId="5" borderId="0" applyAlignment="1" pivotButton="0" quotePrefix="0" xfId="2">
      <alignment horizontal="center"/>
    </xf>
    <xf numFmtId="9" fontId="29" fillId="5" borderId="0" applyAlignment="1" pivotButton="0" quotePrefix="0" xfId="2">
      <alignment horizontal="center"/>
    </xf>
    <xf numFmtId="164" fontId="29" fillId="5" borderId="0" applyAlignment="1" pivotButton="0" quotePrefix="0" xfId="2">
      <alignment horizontal="center"/>
    </xf>
    <xf numFmtId="0" fontId="1" fillId="15" borderId="0" pivotButton="0" quotePrefix="0" xfId="0"/>
    <xf numFmtId="164" fontId="1" fillId="15" borderId="0" applyAlignment="1" pivotButton="0" quotePrefix="0" xfId="2">
      <alignment horizontal="center"/>
    </xf>
    <xf numFmtId="0" fontId="0" fillId="0" borderId="0" pivotButton="0" quotePrefix="0" xfId="0"/>
    <xf numFmtId="0" fontId="30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9" fillId="0" borderId="0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center" vertical="top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pivotButton="0" quotePrefix="0" xfId="0"/>
    <xf numFmtId="0" fontId="0" fillId="0" borderId="12" applyAlignment="1" pivotButton="0" quotePrefix="0" xfId="0">
      <alignment horizontal="center"/>
    </xf>
    <xf numFmtId="1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3" fontId="16" fillId="10" borderId="10" applyAlignment="1" pivotButton="0" quotePrefix="0" xfId="0">
      <alignment horizontal="center" vertical="center" wrapText="1"/>
    </xf>
    <xf numFmtId="3" fontId="23" fillId="10" borderId="10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6" fillId="5" borderId="0" applyAlignment="1" pivotButton="0" quotePrefix="0" xfId="0">
      <alignment vertical="center"/>
    </xf>
    <xf numFmtId="1" fontId="0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9" fillId="4" borderId="0" pivotButton="0" quotePrefix="0" xfId="0"/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/>
    </xf>
    <xf numFmtId="3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3" fontId="29" fillId="5" borderId="0" applyAlignment="1" pivotButton="0" quotePrefix="0" xfId="2">
      <alignment horizontal="center"/>
    </xf>
    <xf numFmtId="0" fontId="0" fillId="16" borderId="0" pivotButton="0" quotePrefix="0" xfId="0"/>
    <xf numFmtId="0" fontId="1" fillId="0" borderId="25" pivotButton="0" quotePrefix="0" xfId="0"/>
    <xf numFmtId="0" fontId="4" fillId="0" borderId="0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33" fillId="0" borderId="0" applyAlignment="1" pivotButton="0" quotePrefix="0" xfId="0">
      <alignment vertical="center"/>
    </xf>
    <xf numFmtId="168" fontId="0" fillId="0" borderId="0" pivotButton="0" quotePrefix="0" xfId="0"/>
    <xf numFmtId="4" fontId="29" fillId="5" borderId="0" applyAlignment="1" pivotButton="0" quotePrefix="0" xfId="2">
      <alignment horizontal="center"/>
    </xf>
    <xf numFmtId="9" fontId="29" fillId="5" borderId="0" applyAlignment="1" pivotButton="0" quotePrefix="0" xfId="2">
      <alignment horizontal="center"/>
    </xf>
    <xf numFmtId="0" fontId="36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9" fontId="4" fillId="0" borderId="0" applyAlignment="1" pivotButton="0" quotePrefix="0" xfId="0">
      <alignment horizontal="center"/>
    </xf>
    <xf numFmtId="3" fontId="1" fillId="15" borderId="0" applyAlignment="1" pivotButton="0" quotePrefix="0" xfId="2">
      <alignment horizontal="center"/>
    </xf>
    <xf numFmtId="169" fontId="4" fillId="0" borderId="0" pivotButton="0" quotePrefix="0" xfId="3"/>
    <xf numFmtId="169" fontId="29" fillId="5" borderId="0" applyAlignment="1" pivotButton="0" quotePrefix="0" xfId="1">
      <alignment horizontal="center"/>
    </xf>
    <xf numFmtId="169" fontId="0" fillId="0" borderId="0" pivotButton="0" quotePrefix="0" xfId="1"/>
    <xf numFmtId="0" fontId="25" fillId="0" borderId="25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69" fontId="4" fillId="0" borderId="25" applyAlignment="1" pivotButton="0" quotePrefix="0" xfId="0">
      <alignment horizontal="center"/>
    </xf>
    <xf numFmtId="164" fontId="1" fillId="15" borderId="0" applyAlignment="1" pivotButton="0" quotePrefix="0" xfId="2">
      <alignment horizontal="center" vertical="center"/>
    </xf>
    <xf numFmtId="164" fontId="29" fillId="5" borderId="0" applyAlignment="1" pivotButton="0" quotePrefix="0" xfId="1">
      <alignment horizontal="center"/>
    </xf>
    <xf numFmtId="164" fontId="0" fillId="0" borderId="0" pivotButton="0" quotePrefix="0" xfId="1"/>
    <xf numFmtId="164" fontId="4" fillId="0" borderId="0" applyAlignment="1" pivotButton="0" quotePrefix="0" xfId="1">
      <alignment horizontal="center"/>
    </xf>
    <xf numFmtId="3" fontId="21" fillId="8" borderId="0" applyAlignment="1" pivotButton="0" quotePrefix="0" xfId="0">
      <alignment wrapText="1"/>
    </xf>
    <xf numFmtId="3" fontId="21" fillId="12" borderId="0" applyAlignment="1" pivotButton="0" quotePrefix="0" xfId="0">
      <alignment wrapText="1"/>
    </xf>
    <xf numFmtId="3" fontId="21" fillId="8" borderId="0" applyAlignment="1" pivotButton="0" quotePrefix="0" xfId="0">
      <alignment horizontal="center" wrapText="1"/>
    </xf>
    <xf numFmtId="3" fontId="21" fillId="8" borderId="12" applyAlignment="1" pivotButton="0" quotePrefix="0" xfId="0">
      <alignment horizontal="center" wrapText="1"/>
    </xf>
    <xf numFmtId="3" fontId="13" fillId="8" borderId="11" applyAlignment="1" pivotButton="0" quotePrefix="0" xfId="0">
      <alignment horizontal="center" wrapText="1"/>
    </xf>
    <xf numFmtId="3" fontId="20" fillId="0" borderId="4" applyAlignment="1" pivotButton="0" quotePrefix="0" xfId="0">
      <alignment horizontal="center" vertical="top"/>
    </xf>
    <xf numFmtId="3" fontId="20" fillId="0" borderId="5" applyAlignment="1" pivotButton="0" quotePrefix="0" xfId="0">
      <alignment horizontal="center" vertical="top"/>
    </xf>
    <xf numFmtId="3" fontId="0" fillId="0" borderId="5" applyAlignment="1" pivotButton="0" quotePrefix="0" xfId="0">
      <alignment horizontal="center" wrapText="1"/>
    </xf>
    <xf numFmtId="3" fontId="0" fillId="0" borderId="6" applyAlignment="1" pivotButton="0" quotePrefix="0" xfId="0">
      <alignment horizontal="center" wrapText="1"/>
    </xf>
    <xf numFmtId="3" fontId="0" fillId="0" borderId="12" applyAlignment="1" pivotButton="0" quotePrefix="0" xfId="0">
      <alignment horizontal="center" wrapText="1"/>
    </xf>
    <xf numFmtId="3" fontId="0" fillId="0" borderId="8" applyAlignment="1" pivotButton="0" quotePrefix="0" xfId="0">
      <alignment horizontal="center" wrapText="1"/>
    </xf>
    <xf numFmtId="3" fontId="0" fillId="0" borderId="1" applyAlignment="1" pivotButton="0" quotePrefix="0" xfId="0">
      <alignment horizontal="center" wrapText="1"/>
    </xf>
    <xf numFmtId="3" fontId="20" fillId="0" borderId="7" applyAlignment="1" pivotButton="0" quotePrefix="0" xfId="0">
      <alignment horizontal="center" vertical="top"/>
    </xf>
    <xf numFmtId="3" fontId="20" fillId="0" borderId="0" applyAlignment="1" pivotButton="0" quotePrefix="0" xfId="0">
      <alignment horizontal="center" vertical="top"/>
    </xf>
    <xf numFmtId="3" fontId="0" fillId="0" borderId="0" applyAlignment="1" pivotButton="0" quotePrefix="0" xfId="0">
      <alignment horizontal="center" wrapText="1"/>
    </xf>
    <xf numFmtId="3" fontId="5" fillId="0" borderId="8" applyAlignment="1" pivotButton="0" quotePrefix="0" xfId="0">
      <alignment horizontal="center" wrapText="1"/>
    </xf>
    <xf numFmtId="3" fontId="0" fillId="0" borderId="7" applyAlignment="1" pivotButton="0" quotePrefix="0" xfId="0">
      <alignment horizontal="center" wrapText="1"/>
    </xf>
    <xf numFmtId="3" fontId="16" fillId="0" borderId="0" applyAlignment="1" pivotButton="0" quotePrefix="0" xfId="0">
      <alignment horizontal="center" wrapText="1"/>
    </xf>
    <xf numFmtId="3" fontId="16" fillId="0" borderId="8" applyAlignment="1" pivotButton="0" quotePrefix="0" xfId="0">
      <alignment horizontal="center" wrapText="1"/>
    </xf>
    <xf numFmtId="3" fontId="16" fillId="0" borderId="12" applyAlignment="1" pivotButton="0" quotePrefix="0" xfId="0">
      <alignment horizontal="center" wrapText="1"/>
    </xf>
    <xf numFmtId="3" fontId="0" fillId="0" borderId="0" applyAlignment="1" pivotButton="0" quotePrefix="0" xfId="0">
      <alignment wrapText="1"/>
    </xf>
    <xf numFmtId="3" fontId="20" fillId="0" borderId="1" applyAlignment="1" pivotButton="0" quotePrefix="0" xfId="0">
      <alignment horizontal="center" wrapText="1"/>
    </xf>
    <xf numFmtId="3" fontId="17" fillId="9" borderId="0" applyAlignment="1" pivotButton="0" quotePrefix="0" xfId="0">
      <alignment horizontal="center" wrapText="1"/>
    </xf>
    <xf numFmtId="3" fontId="20" fillId="0" borderId="8" applyAlignment="1" pivotButton="0" quotePrefix="0" xfId="0">
      <alignment horizontal="center" wrapText="1"/>
    </xf>
    <xf numFmtId="3" fontId="17" fillId="9" borderId="12" applyAlignment="1" pivotButton="0" quotePrefix="0" xfId="0">
      <alignment horizontal="center" wrapText="1"/>
    </xf>
    <xf numFmtId="3" fontId="15" fillId="9" borderId="8" applyAlignment="1" pivotButton="0" quotePrefix="0" xfId="0">
      <alignment horizontal="center" wrapText="1"/>
    </xf>
    <xf numFmtId="3" fontId="0" fillId="0" borderId="8" applyAlignment="1" pivotButton="0" quotePrefix="0" xfId="0">
      <alignment wrapText="1"/>
    </xf>
    <xf numFmtId="3" fontId="16" fillId="0" borderId="9" applyAlignment="1" pivotButton="0" quotePrefix="0" xfId="0">
      <alignment horizontal="center" wrapText="1"/>
    </xf>
    <xf numFmtId="3" fontId="0" fillId="0" borderId="9" applyAlignment="1" pivotButton="0" quotePrefix="0" xfId="0">
      <alignment horizontal="center" wrapText="1"/>
    </xf>
    <xf numFmtId="3" fontId="16" fillId="0" borderId="10" applyAlignment="1" pivotButton="0" quotePrefix="0" xfId="0">
      <alignment horizontal="center" wrapText="1"/>
    </xf>
    <xf numFmtId="3" fontId="17" fillId="9" borderId="10" applyAlignment="1" pivotButton="0" quotePrefix="0" xfId="0">
      <alignment horizontal="center" wrapText="1"/>
    </xf>
    <xf numFmtId="3" fontId="17" fillId="9" borderId="11" applyAlignment="1" pivotButton="0" quotePrefix="0" xfId="0">
      <alignment horizontal="center" wrapText="1"/>
    </xf>
    <xf numFmtId="3" fontId="16" fillId="0" borderId="13" applyAlignment="1" pivotButton="0" quotePrefix="0" xfId="0">
      <alignment horizontal="center" wrapText="1"/>
    </xf>
    <xf numFmtId="3" fontId="0" fillId="0" borderId="11" applyAlignment="1" pivotButton="0" quotePrefix="0" xfId="0">
      <alignment horizontal="center" wrapText="1"/>
    </xf>
    <xf numFmtId="3" fontId="0" fillId="0" borderId="11" applyAlignment="1" pivotButton="0" quotePrefix="0" xfId="0">
      <alignment wrapText="1"/>
    </xf>
    <xf numFmtId="3" fontId="16" fillId="4" borderId="0" applyAlignment="1" pivotButton="0" quotePrefix="0" xfId="0">
      <alignment horizontal="center" wrapText="1"/>
    </xf>
    <xf numFmtId="3" fontId="0" fillId="4" borderId="0" applyAlignment="1" pivotButton="0" quotePrefix="0" xfId="0">
      <alignment horizontal="center" wrapText="1"/>
    </xf>
    <xf numFmtId="3" fontId="16" fillId="4" borderId="12" applyAlignment="1" pivotButton="0" quotePrefix="0" xfId="0">
      <alignment horizontal="center" wrapText="1"/>
    </xf>
    <xf numFmtId="3" fontId="24" fillId="4" borderId="15" applyAlignment="1" pivotButton="0" quotePrefix="0" xfId="0">
      <alignment horizontal="center" wrapText="1"/>
    </xf>
    <xf numFmtId="3" fontId="16" fillId="4" borderId="0" applyAlignment="1" pivotButton="0" quotePrefix="0" xfId="0">
      <alignment horizontal="center" vertical="center" wrapText="1"/>
    </xf>
    <xf numFmtId="3" fontId="16" fillId="4" borderId="12" applyAlignment="1" pivotButton="0" quotePrefix="0" xfId="0">
      <alignment horizontal="center" vertical="center" wrapText="1"/>
    </xf>
    <xf numFmtId="3" fontId="24" fillId="4" borderId="16" applyAlignment="1" pivotButton="0" quotePrefix="0" xfId="0">
      <alignment horizontal="center" wrapText="1"/>
    </xf>
    <xf numFmtId="3" fontId="0" fillId="4" borderId="0" applyAlignment="1" pivotButton="0" quotePrefix="0" xfId="0">
      <alignment horizontal="center" vertical="center" wrapText="1"/>
    </xf>
    <xf numFmtId="3" fontId="16" fillId="4" borderId="0" applyAlignment="1" pivotButton="0" quotePrefix="0" xfId="0">
      <alignment horizontal="center" vertical="center" wrapText="1"/>
    </xf>
    <xf numFmtId="3" fontId="20" fillId="4" borderId="8" applyAlignment="1" pivotButton="0" quotePrefix="0" xfId="0">
      <alignment horizontal="center" wrapText="1"/>
    </xf>
    <xf numFmtId="3" fontId="0" fillId="0" borderId="8" applyAlignment="1" pivotButton="0" quotePrefix="0" xfId="0">
      <alignment horizontal="center" vertical="center" wrapText="1"/>
    </xf>
    <xf numFmtId="3" fontId="40" fillId="11" borderId="8" applyAlignment="1" pivotButton="0" quotePrefix="0" xfId="0">
      <alignment horizontal="center" wrapText="1"/>
    </xf>
    <xf numFmtId="0" fontId="0" fillId="0" borderId="0" applyAlignment="1" pivotButton="0" quotePrefix="0" xfId="0">
      <alignment horizontal="left" inden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left" indent="1"/>
    </xf>
    <xf numFmtId="0" fontId="27" fillId="0" borderId="0" applyAlignment="1" pivotButton="0" quotePrefix="0" xfId="0">
      <alignment horizontal="right"/>
    </xf>
    <xf numFmtId="0" fontId="1" fillId="5" borderId="0" applyAlignment="1" pivotButton="0" quotePrefix="0" xfId="0">
      <alignment horizontal="center"/>
    </xf>
    <xf numFmtId="1" fontId="26" fillId="5" borderId="0" applyAlignment="1" pivotButton="0" quotePrefix="0" xfId="0">
      <alignment horizontal="center"/>
    </xf>
    <xf numFmtId="1" fontId="26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9" fontId="4" fillId="0" borderId="0" applyAlignment="1" pivotButton="0" quotePrefix="0" xfId="2">
      <alignment horizontal="center"/>
    </xf>
    <xf numFmtId="164" fontId="41" fillId="5" borderId="0" applyAlignment="1" pivotButton="0" quotePrefix="0" xfId="2">
      <alignment horizontal="center"/>
    </xf>
    <xf numFmtId="0" fontId="0" fillId="0" borderId="0" applyAlignment="1" pivotButton="0" quotePrefix="0" xfId="0">
      <alignment horizontal="right" vertical="center"/>
    </xf>
    <xf numFmtId="171" fontId="0" fillId="0" borderId="0" pivotButton="0" quotePrefix="0" xfId="0"/>
    <xf numFmtId="171" fontId="0" fillId="0" borderId="0" applyAlignment="1" pivotButton="0" quotePrefix="0" xfId="0">
      <alignment horizontal="center"/>
    </xf>
    <xf numFmtId="171" fontId="0" fillId="0" borderId="0" applyAlignment="1" pivotButton="0" quotePrefix="0" xfId="0">
      <alignment horizontal="center"/>
    </xf>
    <xf numFmtId="0" fontId="42" fillId="0" borderId="0" pivotButton="0" quotePrefix="0" xfId="0"/>
    <xf numFmtId="0" fontId="43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172" fontId="0" fillId="0" borderId="0" pivotButton="0" quotePrefix="0" xfId="0"/>
    <xf numFmtId="0" fontId="5" fillId="0" borderId="0" pivotButton="0" quotePrefix="0" xfId="4"/>
    <xf numFmtId="3" fontId="29" fillId="5" borderId="26" applyAlignment="1" pivotButton="0" quotePrefix="0" xfId="2">
      <alignment horizontal="center"/>
    </xf>
    <xf numFmtId="168" fontId="29" fillId="5" borderId="26" applyAlignment="1" pivotButton="0" quotePrefix="0" xfId="2">
      <alignment horizontal="center"/>
    </xf>
    <xf numFmtId="3" fontId="29" fillId="5" borderId="0" applyAlignment="1" pivotButton="0" quotePrefix="0" xfId="2">
      <alignment horizontal="right"/>
    </xf>
    <xf numFmtId="168" fontId="41" fillId="5" borderId="26" applyAlignment="1" pivotButton="0" quotePrefix="0" xfId="2">
      <alignment horizontal="center"/>
    </xf>
    <xf numFmtId="0" fontId="46" fillId="0" borderId="0" pivotButton="0" quotePrefix="0" xfId="0"/>
    <xf numFmtId="1" fontId="0" fillId="14" borderId="0" applyAlignment="1" pivotButton="0" quotePrefix="0" xfId="0">
      <alignment horizontal="center"/>
    </xf>
    <xf numFmtId="173" fontId="0" fillId="0" borderId="26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29" fillId="5" borderId="26" applyAlignment="1" pivotButton="0" quotePrefix="0" xfId="2">
      <alignment horizontal="center"/>
    </xf>
    <xf numFmtId="3" fontId="41" fillId="5" borderId="24" applyAlignment="1" pivotButton="0" quotePrefix="0" xfId="2">
      <alignment horizontal="center"/>
    </xf>
    <xf numFmtId="167" fontId="4" fillId="0" borderId="0" applyAlignment="1" pivotButton="0" quotePrefix="0" xfId="2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31" fillId="10" borderId="0" applyAlignment="1" pivotButton="0" quotePrefix="0" xfId="0">
      <alignment horizontal="left" vertical="center" indent="1"/>
    </xf>
    <xf numFmtId="0" fontId="31" fillId="10" borderId="0" pivotButton="0" quotePrefix="0" xfId="0"/>
    <xf numFmtId="2" fontId="47" fillId="10" borderId="0" applyAlignment="1" pivotButton="0" quotePrefix="0" xfId="0">
      <alignment horizontal="center"/>
    </xf>
    <xf numFmtId="3" fontId="17" fillId="0" borderId="7" applyAlignment="1" pivotButton="0" quotePrefix="0" xfId="0">
      <alignment horizontal="center" wrapText="1"/>
    </xf>
    <xf numFmtId="3" fontId="16" fillId="0" borderId="7" applyAlignment="1" pivotButton="0" quotePrefix="0" xfId="0">
      <alignment horizontal="center" wrapText="1"/>
    </xf>
    <xf numFmtId="0" fontId="30" fillId="0" borderId="0" pivotButton="0" quotePrefix="0" xfId="0"/>
    <xf numFmtId="0" fontId="30" fillId="0" borderId="0" applyAlignment="1" pivotButton="0" quotePrefix="0" xfId="0">
      <alignment wrapText="1"/>
    </xf>
    <xf numFmtId="0" fontId="30" fillId="0" borderId="0" applyAlignment="1" pivotButton="0" quotePrefix="0" xfId="0">
      <alignment horizontal="center" wrapText="1"/>
    </xf>
    <xf numFmtId="3" fontId="30" fillId="0" borderId="8" applyAlignment="1" pivotButton="0" quotePrefix="0" xfId="0">
      <alignment horizontal="center" wrapText="1"/>
    </xf>
    <xf numFmtId="0" fontId="48" fillId="0" borderId="0" applyAlignment="1" pivotButton="0" quotePrefix="0" xfId="0">
      <alignment horizontal="left" vertical="top"/>
    </xf>
    <xf numFmtId="0" fontId="48" fillId="0" borderId="0" pivotButton="0" quotePrefix="0" xfId="0"/>
    <xf numFmtId="171" fontId="6" fillId="0" borderId="0" applyAlignment="1" pivotButton="0" quotePrefix="0" xfId="0">
      <alignment horizontal="center"/>
    </xf>
    <xf numFmtId="0" fontId="49" fillId="0" borderId="0" applyAlignment="1" pivotButton="0" quotePrefix="0" xfId="0">
      <alignment horizontal="left" vertical="center" readingOrder="1"/>
    </xf>
    <xf numFmtId="164" fontId="30" fillId="0" borderId="0" pivotButton="0" quotePrefix="0" xfId="0"/>
    <xf numFmtId="169" fontId="4" fillId="0" borderId="23" applyAlignment="1" pivotButton="0" quotePrefix="0" xfId="3">
      <alignment horizontal="center"/>
    </xf>
    <xf numFmtId="0" fontId="1" fillId="0" borderId="0" applyAlignment="1" pivotButton="0" quotePrefix="0" xfId="0">
      <alignment horizontal="center" wrapText="1"/>
    </xf>
    <xf numFmtId="0" fontId="45" fillId="0" borderId="0" pivotButton="0" quotePrefix="0" xfId="5"/>
    <xf numFmtId="0" fontId="0" fillId="12" borderId="0" applyAlignment="1" pivotButton="0" quotePrefix="0" xfId="0">
      <alignment wrapText="1"/>
    </xf>
    <xf numFmtId="174" fontId="4" fillId="0" borderId="0" applyAlignment="1" pivotButton="0" quotePrefix="0" xfId="0">
      <alignment horizontal="center"/>
    </xf>
    <xf numFmtId="175" fontId="4" fillId="0" borderId="0" applyAlignment="1" pivotButton="0" quotePrefix="0" xfId="3">
      <alignment horizontal="center"/>
    </xf>
    <xf numFmtId="169" fontId="4" fillId="0" borderId="24" applyAlignment="1" pivotButton="0" quotePrefix="0" xfId="0">
      <alignment horizontal="center"/>
    </xf>
    <xf numFmtId="0" fontId="30" fillId="0" borderId="0" applyAlignment="1" pivotButton="0" quotePrefix="0" xfId="0">
      <alignment wrapText="1"/>
    </xf>
    <xf numFmtId="169" fontId="4" fillId="0" borderId="0" applyAlignment="1" pivotButton="0" quotePrefix="0" xfId="3">
      <alignment horizontal="center"/>
    </xf>
    <xf numFmtId="3" fontId="30" fillId="0" borderId="0" applyAlignment="1" pivotButton="0" quotePrefix="0" xfId="0">
      <alignment horizontal="left" wrapText="1"/>
    </xf>
    <xf numFmtId="3" fontId="30" fillId="0" borderId="0" applyAlignment="1" pivotButton="0" quotePrefix="0" xfId="0">
      <alignment horizontal="left" wrapText="1"/>
    </xf>
    <xf numFmtId="172" fontId="0" fillId="12" borderId="0" pivotButton="0" quotePrefix="0" xfId="0"/>
    <xf numFmtId="0" fontId="50" fillId="0" borderId="7" applyAlignment="1" pivotButton="0" quotePrefix="0" xfId="0">
      <alignment wrapText="1"/>
    </xf>
    <xf numFmtId="164" fontId="29" fillId="5" borderId="0" pivotButton="0" quotePrefix="0" xfId="2"/>
    <xf numFmtId="164" fontId="4" fillId="5" borderId="0" applyAlignment="1" pivotButton="0" quotePrefix="0" xfId="2">
      <alignment horizontal="center"/>
    </xf>
    <xf numFmtId="167" fontId="25" fillId="0" borderId="0" pivotButton="0" quotePrefix="0" xfId="0"/>
    <xf numFmtId="167" fontId="0" fillId="0" borderId="0" pivotButton="0" quotePrefix="0" xfId="0"/>
    <xf numFmtId="167" fontId="4" fillId="0" borderId="0" applyAlignment="1" pivotButton="0" quotePrefix="0" xfId="2">
      <alignment horizontal="center"/>
    </xf>
    <xf numFmtId="0" fontId="0" fillId="0" borderId="0" applyAlignment="1" pivotButton="0" quotePrefix="0" xfId="0">
      <alignment horizontal="left" indent="1"/>
    </xf>
    <xf numFmtId="0" fontId="51" fillId="18" borderId="0" applyAlignment="1" pivotButton="0" quotePrefix="0" xfId="0">
      <alignment horizontal="center"/>
    </xf>
    <xf numFmtId="0" fontId="0" fillId="8" borderId="0" pivotButton="0" quotePrefix="0" xfId="0"/>
    <xf numFmtId="0" fontId="9" fillId="8" borderId="0" pivotButton="0" quotePrefix="0" xfId="0"/>
    <xf numFmtId="0" fontId="9" fillId="20" borderId="0" pivotButton="0" quotePrefix="0" xfId="0"/>
    <xf numFmtId="0" fontId="0" fillId="20" borderId="0" pivotButton="0" quotePrefix="0" xfId="0"/>
    <xf numFmtId="1" fontId="0" fillId="8" borderId="0" pivotButton="0" quotePrefix="0" xfId="0"/>
    <xf numFmtId="1" fontId="0" fillId="19" borderId="0" pivotButton="0" quotePrefix="0" xfId="0"/>
    <xf numFmtId="9" fontId="1" fillId="15" borderId="0" applyAlignment="1" pivotButton="0" quotePrefix="0" xfId="2">
      <alignment horizontal="center"/>
    </xf>
    <xf numFmtId="0" fontId="0" fillId="5" borderId="0" applyAlignment="1" pivotButton="0" quotePrefix="0" xfId="0">
      <alignment horizontal="left" indent="1"/>
    </xf>
    <xf numFmtId="0" fontId="4" fillId="5" borderId="0" applyAlignment="1" pivotButton="0" quotePrefix="0" xfId="0">
      <alignment horizontal="center"/>
    </xf>
    <xf numFmtId="0" fontId="52" fillId="0" borderId="0" pivotButton="0" quotePrefix="0" xfId="0"/>
    <xf numFmtId="171" fontId="52" fillId="0" borderId="0" applyAlignment="1" pivotButton="0" quotePrefix="0" xfId="0">
      <alignment horizontal="center"/>
    </xf>
    <xf numFmtId="0" fontId="53" fillId="0" borderId="0" pivotButton="0" quotePrefix="0" xfId="0"/>
    <xf numFmtId="171" fontId="53" fillId="0" borderId="0" applyAlignment="1" pivotButton="0" quotePrefix="0" xfId="0">
      <alignment horizontal="center"/>
    </xf>
    <xf numFmtId="0" fontId="54" fillId="0" borderId="0" pivotButton="0" quotePrefix="0" xfId="0"/>
    <xf numFmtId="171" fontId="53" fillId="0" borderId="0" applyAlignment="1" pivotButton="0" quotePrefix="0" xfId="0">
      <alignment horizontal="center"/>
    </xf>
    <xf numFmtId="0" fontId="52" fillId="0" borderId="2" pivotButton="0" quotePrefix="0" xfId="0"/>
    <xf numFmtId="171" fontId="53" fillId="0" borderId="2" applyAlignment="1" pivotButton="0" quotePrefix="0" xfId="0">
      <alignment horizontal="center"/>
    </xf>
    <xf numFmtId="0" fontId="53" fillId="0" borderId="0" applyAlignment="1" pivotButton="0" quotePrefix="0" xfId="0">
      <alignment wrapText="1"/>
    </xf>
    <xf numFmtId="171" fontId="53" fillId="0" borderId="0" applyAlignment="1" pivotButton="0" quotePrefix="0" xfId="0">
      <alignment horizontal="center" wrapText="1"/>
    </xf>
    <xf numFmtId="171" fontId="53" fillId="0" borderId="0" applyAlignment="1" pivotButton="0" quotePrefix="0" xfId="0">
      <alignment horizontal="center" wrapText="1"/>
    </xf>
    <xf numFmtId="0" fontId="52" fillId="0" borderId="3" applyAlignment="1" pivotButton="0" quotePrefix="0" xfId="0">
      <alignment wrapText="1"/>
    </xf>
    <xf numFmtId="171" fontId="53" fillId="0" borderId="3" applyAlignment="1" pivotButton="0" quotePrefix="0" xfId="0">
      <alignment horizontal="center" wrapText="1"/>
    </xf>
    <xf numFmtId="0" fontId="55" fillId="0" borderId="0" applyAlignment="1" pivotButton="0" quotePrefix="0" xfId="0">
      <alignment horizontal="right"/>
    </xf>
    <xf numFmtId="171" fontId="53" fillId="0" borderId="0" pivotButton="0" quotePrefix="0" xfId="0"/>
    <xf numFmtId="0" fontId="52" fillId="0" borderId="0" applyAlignment="1" pivotButton="0" quotePrefix="0" xfId="0">
      <alignment wrapText="1"/>
    </xf>
    <xf numFmtId="171" fontId="56" fillId="0" borderId="0" applyAlignment="1" pivotButton="0" quotePrefix="0" xfId="0">
      <alignment horizontal="center" vertical="center" wrapText="1"/>
    </xf>
    <xf numFmtId="171" fontId="53" fillId="0" borderId="0" applyAlignment="1" pivotButton="0" quotePrefix="0" xfId="0">
      <alignment wrapText="1"/>
    </xf>
    <xf numFmtId="171" fontId="55" fillId="0" borderId="0" applyAlignment="1" pivotButton="0" quotePrefix="0" xfId="0">
      <alignment wrapText="1"/>
    </xf>
    <xf numFmtId="2" fontId="57" fillId="0" borderId="0" applyAlignment="1" pivotButton="0" quotePrefix="0" xfId="0">
      <alignment horizontal="right" wrapText="1"/>
    </xf>
    <xf numFmtId="0" fontId="1" fillId="20" borderId="0" pivotButton="0" quotePrefix="0" xfId="0"/>
    <xf numFmtId="171" fontId="57" fillId="0" borderId="0" pivotButton="0" quotePrefix="0" xfId="0"/>
    <xf numFmtId="3" fontId="14" fillId="11" borderId="0" applyAlignment="1" pivotButton="0" quotePrefix="0" xfId="0">
      <alignment horizontal="center" wrapText="1"/>
    </xf>
    <xf numFmtId="0" fontId="0" fillId="4" borderId="9" applyAlignment="1" pivotButton="0" quotePrefix="0" xfId="0">
      <alignment vertical="center" wrapText="1"/>
    </xf>
    <xf numFmtId="0" fontId="0" fillId="4" borderId="10" applyAlignment="1" pivotButton="0" quotePrefix="0" xfId="0">
      <alignment vertical="center" wrapText="1"/>
    </xf>
    <xf numFmtId="3" fontId="0" fillId="4" borderId="10" applyAlignment="1" pivotButton="0" quotePrefix="0" xfId="0">
      <alignment horizontal="center" vertical="center" wrapText="1"/>
    </xf>
    <xf numFmtId="3" fontId="16" fillId="4" borderId="10" applyAlignment="1" pivotButton="0" quotePrefix="0" xfId="0">
      <alignment horizontal="center" vertical="center" wrapText="1"/>
    </xf>
    <xf numFmtId="3" fontId="16" fillId="10" borderId="13" applyAlignment="1" pivotButton="0" quotePrefix="0" xfId="0">
      <alignment horizontal="center" vertical="center" wrapText="1"/>
    </xf>
    <xf numFmtId="0" fontId="9" fillId="5" borderId="0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3" fontId="58" fillId="9" borderId="5" applyAlignment="1" pivotButton="0" quotePrefix="0" xfId="0">
      <alignment horizontal="center" vertical="center"/>
    </xf>
    <xf numFmtId="3" fontId="58" fillId="9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29" fillId="0" borderId="0" applyAlignment="1" pivotButton="0" quotePrefix="0" xfId="2">
      <alignment horizontal="center"/>
    </xf>
    <xf numFmtId="0" fontId="59" fillId="21" borderId="27" applyAlignment="1" pivotButton="0" quotePrefix="0" xfId="0">
      <alignment horizontal="center" vertical="center" wrapText="1"/>
    </xf>
    <xf numFmtId="0" fontId="0" fillId="0" borderId="0" pivotButton="0" quotePrefix="0" xfId="0"/>
    <xf numFmtId="0" fontId="60" fillId="22" borderId="27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29" pivotButton="0" quotePrefix="0" xfId="0"/>
    <xf numFmtId="0" fontId="60" fillId="0" borderId="27" applyAlignment="1" pivotButton="0" quotePrefix="0" xfId="0">
      <alignment horizontal="left" vertical="center" wrapText="1"/>
    </xf>
    <xf numFmtId="0" fontId="60" fillId="23" borderId="27" applyAlignment="1" pivotButton="0" quotePrefix="0" xfId="0">
      <alignment horizontal="center" vertical="center" wrapText="1"/>
    </xf>
    <xf numFmtId="0" fontId="61" fillId="17" borderId="27" applyAlignment="1" pivotButton="0" quotePrefix="0" xfId="0">
      <alignment horizontal="center" vertical="center" wrapText="1"/>
    </xf>
    <xf numFmtId="0" fontId="62" fillId="0" borderId="27" applyAlignment="1" pivotButton="0" quotePrefix="0" xfId="0">
      <alignment horizontal="left" vertical="center" wrapText="1"/>
    </xf>
    <xf numFmtId="0" fontId="62" fillId="0" borderId="27" applyAlignment="1" pivotButton="0" quotePrefix="0" xfId="0">
      <alignment horizontal="center" vertical="center" wrapText="1"/>
    </xf>
    <xf numFmtId="3" fontId="62" fillId="0" borderId="27" applyAlignment="1" pivotButton="0" quotePrefix="0" xfId="0">
      <alignment horizontal="center" vertical="center" wrapText="1"/>
    </xf>
    <xf numFmtId="3" fontId="60" fillId="22" borderId="27" applyAlignment="1" pivotButton="0" quotePrefix="0" xfId="0">
      <alignment horizontal="center" vertical="center" wrapText="1"/>
    </xf>
    <xf numFmtId="0" fontId="63" fillId="0" borderId="27" applyAlignment="1" pivotButton="0" quotePrefix="0" xfId="0">
      <alignment horizontal="left" vertical="center" wrapText="1"/>
    </xf>
    <xf numFmtId="0" fontId="5" fillId="7" borderId="0" pivotButton="0" quotePrefix="0" xfId="4"/>
    <xf numFmtId="172" fontId="0" fillId="0" borderId="0" pivotButton="0" quotePrefix="0" xfId="0"/>
    <xf numFmtId="172" fontId="0" fillId="12" borderId="0" pivotButton="0" quotePrefix="0" xfId="0"/>
    <xf numFmtId="168" fontId="0" fillId="0" borderId="0" pivotButton="0" quotePrefix="0" xfId="0"/>
    <xf numFmtId="170" fontId="4" fillId="0" borderId="0" applyAlignment="1" pivotButton="0" quotePrefix="0" xfId="0">
      <alignment horizontal="center"/>
    </xf>
    <xf numFmtId="169" fontId="4" fillId="0" borderId="0" pivotButton="0" quotePrefix="0" xfId="3"/>
    <xf numFmtId="169" fontId="4" fillId="0" borderId="0" applyAlignment="1" pivotButton="0" quotePrefix="0" xfId="0">
      <alignment horizontal="center"/>
    </xf>
    <xf numFmtId="169" fontId="4" fillId="0" borderId="25" applyAlignment="1" pivotButton="0" quotePrefix="0" xfId="0">
      <alignment horizontal="center"/>
    </xf>
    <xf numFmtId="171" fontId="52" fillId="0" borderId="0" applyAlignment="1" pivotButton="0" quotePrefix="0" xfId="0">
      <alignment horizontal="center"/>
    </xf>
    <xf numFmtId="171" fontId="6" fillId="0" borderId="0" applyAlignment="1" pivotButton="0" quotePrefix="0" xfId="0">
      <alignment horizontal="center"/>
    </xf>
    <xf numFmtId="171" fontId="53" fillId="0" borderId="0" applyAlignment="1" pivotButton="0" quotePrefix="0" xfId="0">
      <alignment horizontal="center"/>
    </xf>
    <xf numFmtId="171" fontId="0" fillId="0" borderId="0" applyAlignment="1" pivotButton="0" quotePrefix="0" xfId="0">
      <alignment horizontal="center"/>
    </xf>
    <xf numFmtId="171" fontId="53" fillId="0" borderId="2" applyAlignment="1" pivotButton="0" quotePrefix="0" xfId="0">
      <alignment horizontal="center"/>
    </xf>
    <xf numFmtId="171" fontId="53" fillId="0" borderId="0" applyAlignment="1" pivotButton="0" quotePrefix="0" xfId="0">
      <alignment horizontal="center" wrapText="1"/>
    </xf>
    <xf numFmtId="171" fontId="53" fillId="0" borderId="3" applyAlignment="1" pivotButton="0" quotePrefix="0" xfId="0">
      <alignment horizontal="center" wrapText="1"/>
    </xf>
    <xf numFmtId="171" fontId="53" fillId="0" borderId="0" pivotButton="0" quotePrefix="0" xfId="0"/>
    <xf numFmtId="171" fontId="0" fillId="0" borderId="0" pivotButton="0" quotePrefix="0" xfId="0"/>
    <xf numFmtId="171" fontId="57" fillId="0" borderId="0" pivotButton="0" quotePrefix="0" xfId="0"/>
    <xf numFmtId="171" fontId="56" fillId="0" borderId="0" applyAlignment="1" pivotButton="0" quotePrefix="0" xfId="0">
      <alignment horizontal="center" vertical="center" wrapText="1"/>
    </xf>
    <xf numFmtId="171" fontId="53" fillId="0" borderId="0" applyAlignment="1" pivotButton="0" quotePrefix="0" xfId="0">
      <alignment wrapText="1"/>
    </xf>
    <xf numFmtId="171" fontId="55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16" pivotButton="0" quotePrefix="0" xfId="0"/>
    <xf numFmtId="0" fontId="0" fillId="0" borderId="12" pivotButton="0" quotePrefix="0" xfId="0"/>
    <xf numFmtId="167" fontId="4" fillId="0" borderId="0" applyAlignment="1" pivotButton="0" quotePrefix="0" xfId="2">
      <alignment horizontal="center"/>
    </xf>
    <xf numFmtId="173" fontId="0" fillId="0" borderId="26" applyAlignment="1" pivotButton="0" quotePrefix="0" xfId="0">
      <alignment horizontal="center"/>
    </xf>
    <xf numFmtId="168" fontId="29" fillId="5" borderId="26" applyAlignment="1" pivotButton="0" quotePrefix="0" xfId="2">
      <alignment horizontal="center"/>
    </xf>
    <xf numFmtId="168" fontId="41" fillId="5" borderId="26" applyAlignment="1" pivotButton="0" quotePrefix="0" xfId="2">
      <alignment horizontal="center"/>
    </xf>
    <xf numFmtId="166" fontId="12" fillId="0" borderId="0" pivotButton="0" quotePrefix="0" xfId="1"/>
    <xf numFmtId="167" fontId="29" fillId="5" borderId="0" applyAlignment="1" pivotButton="0" quotePrefix="0" xfId="2">
      <alignment horizontal="center"/>
    </xf>
    <xf numFmtId="167" fontId="25" fillId="0" borderId="0" pivotButton="0" quotePrefix="0" xfId="0"/>
    <xf numFmtId="165" fontId="0" fillId="0" borderId="0" pivotButton="0" quotePrefix="0" xfId="0"/>
    <xf numFmtId="0" fontId="0" fillId="0" borderId="32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167" fontId="0" fillId="0" borderId="0" pivotButton="0" quotePrefix="0" xfId="0"/>
    <xf numFmtId="169" fontId="29" fillId="5" borderId="0" applyAlignment="1" pivotButton="0" quotePrefix="0" xfId="1">
      <alignment horizontal="center"/>
    </xf>
    <xf numFmtId="169" fontId="0" fillId="0" borderId="0" pivotButton="0" quotePrefix="0" xfId="1"/>
    <xf numFmtId="167" fontId="4" fillId="0" borderId="0" applyAlignment="1" pivotButton="0" quotePrefix="0" xfId="0">
      <alignment horizontal="center"/>
    </xf>
    <xf numFmtId="169" fontId="4" fillId="0" borderId="23" applyAlignment="1" pivotButton="0" quotePrefix="0" xfId="3">
      <alignment horizontal="center"/>
    </xf>
    <xf numFmtId="169" fontId="4" fillId="0" borderId="24" applyAlignment="1" pivotButton="0" quotePrefix="0" xfId="0">
      <alignment horizontal="center"/>
    </xf>
    <xf numFmtId="169" fontId="4" fillId="0" borderId="0" applyAlignment="1" pivotButton="0" quotePrefix="0" xfId="3">
      <alignment horizontal="center"/>
    </xf>
    <xf numFmtId="174" fontId="4" fillId="0" borderId="0" applyAlignment="1" pivotButton="0" quotePrefix="0" xfId="0">
      <alignment horizontal="center"/>
    </xf>
    <xf numFmtId="175" fontId="4" fillId="0" borderId="0" applyAlignment="1" pivotButton="0" quotePrefix="0" xfId="3">
      <alignment horizontal="center"/>
    </xf>
  </cellXfs>
  <cellStyles count="6">
    <cellStyle name="Normal" xfId="0" builtinId="0"/>
    <cellStyle name="Currency" xfId="1" builtinId="4"/>
    <cellStyle name="Percent" xfId="2" builtinId="5"/>
    <cellStyle name="Currency 2" xfId="3"/>
    <cellStyle name="Normal 2" xfId="4"/>
    <cellStyle name="Hyperlink" xfId="5" builtinId="8"/>
  </cellStyles>
  <dxfs count="2">
    <dxf>
      <font>
        <color rgb="FFC00000"/>
      </font>
      <fill>
        <patternFill>
          <fgColor theme="0" tint="-0.1499679555650502"/>
        </patternFill>
      </fill>
    </dxf>
    <dxf>
      <font>
        <color rgb="FFC00000"/>
      </font>
      <fill>
        <patternFill>
          <f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Framework!$R$18</f>
              <strCache>
                <ptCount val="1"/>
                <pt idx="0">
                  <v>Accumulated value in time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val>
            <numRef>
              <f>Framework!$S$18:$AC$18</f>
              <numCache>
                <formatCode>[$$-409]#,##0</formatCode>
                <ptCount val="11"/>
                <pt idx="0">
                  <v>-10000</v>
                </pt>
                <pt idx="1">
                  <v>-162277.3250633786</v>
                </pt>
                <pt idx="2">
                  <v>-149278.4126540332</v>
                </pt>
                <pt idx="3">
                  <v>-132009.0494954202</v>
                </pt>
                <pt idx="4">
                  <v>-114203.1381974202</v>
                </pt>
                <pt idx="5">
                  <v>-93914.90301497011</v>
                </pt>
                <pt idx="6">
                  <v>-74860.43385046795</v>
                </pt>
                <pt idx="7">
                  <v>-52369.13355678911</v>
                </pt>
                <pt idx="8">
                  <v>-31624.53395840701</v>
                </pt>
                <pt idx="9">
                  <v>-10250.26621890769</v>
                </pt>
                <pt idx="10">
                  <v>5913.987285136316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62"/>
        <overlap val="90"/>
        <axId val="133827855"/>
        <axId val="133828815"/>
      </barChart>
      <catAx>
        <axId val="133827855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3828815"/>
        <crosses val="autoZero"/>
        <auto val="1"/>
        <lblAlgn val="ctr"/>
        <lblOffset val="100"/>
        <noMultiLvlLbl val="0"/>
      </catAx>
      <valAx>
        <axId val="13382881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[$$-409]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382785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17</col>
      <colOff>36963</colOff>
      <row>22</row>
      <rowOff>24363</rowOff>
    </from>
    <to>
      <col>22</col>
      <colOff>134936</colOff>
      <row>30</row>
      <rowOff>167115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0</row>
      <rowOff>0</rowOff>
    </from>
    <to>
      <col>6</col>
      <colOff>266322</colOff>
      <row>16</row>
      <rowOff>115316</rowOff>
    </to>
    <pic>
      <nvPicPr>
        <cNvPr id="2" name="image5.png" descr="Making Aquaponics a Business: A Framework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8224838" cy="35766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https://newibnet.org/tariffs-dashboard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8" topLeftCell="A9" activePane="bottomLeft" state="frozen"/>
      <selection pane="bottomLeft" activeCell="D20" sqref="D20"/>
    </sheetView>
  </sheetViews>
  <sheetFormatPr baseColWidth="8" defaultRowHeight="14.25"/>
  <cols>
    <col width="30" customWidth="1" style="313" min="1" max="1"/>
    <col width="14" customWidth="1" style="313" min="2" max="2"/>
    <col width="20" customWidth="1" style="313" min="3" max="3"/>
    <col width="10" customWidth="1" style="313" min="4" max="4"/>
    <col width="26" customWidth="1" style="313" min="5" max="5"/>
    <col width="16" customWidth="1" style="313" min="6" max="6"/>
    <col width="42" customWidth="1" style="313" min="7" max="7"/>
  </cols>
  <sheetData>
    <row r="1" ht="28.05" customHeight="1" s="313">
      <c r="A1" s="312" t="inlineStr">
        <is>
          <t>Estimativa de Consumo Elétrico (kWh/ano) — Fórmulas por Volume (RAS) e Área (Hidroponia)</t>
        </is>
      </c>
      <c r="B1" s="315" t="n"/>
      <c r="C1" s="315" t="n"/>
      <c r="D1" s="315" t="n"/>
      <c r="E1" s="315" t="n"/>
      <c r="F1" s="315" t="n"/>
      <c r="G1" s="316" t="n"/>
    </row>
    <row r="3">
      <c r="A3" s="314" t="inlineStr">
        <is>
          <t>Parâmetros de Entrada (ajuste aqui)</t>
        </is>
      </c>
      <c r="B3" s="315" t="n"/>
      <c r="C3" s="315" t="n"/>
      <c r="D3" s="315" t="n"/>
      <c r="E3" s="315" t="n"/>
      <c r="F3" s="315" t="n"/>
      <c r="G3" s="316" t="n"/>
    </row>
    <row r="4">
      <c r="A4" s="317" t="inlineStr">
        <is>
          <t>Volume total do RAS (m³)</t>
        </is>
      </c>
      <c r="B4" s="315" t="n"/>
      <c r="C4" s="316" t="n"/>
      <c r="D4" s="318" t="n">
        <v>10</v>
      </c>
    </row>
    <row r="5">
      <c r="A5" s="317" t="inlineStr">
        <is>
          <t>Área de Hidroponia (m²)</t>
        </is>
      </c>
      <c r="B5" s="315" t="n"/>
      <c r="C5" s="316" t="n"/>
      <c r="D5" s="318" t="n">
        <v>100</v>
      </c>
    </row>
    <row r="6">
      <c r="A6" s="317" t="inlineStr">
        <is>
          <t>Número de tanques de peixe</t>
        </is>
      </c>
      <c r="B6" s="315" t="n"/>
      <c r="C6" s="316" t="n"/>
      <c r="D6" s="318" t="n">
        <v>5</v>
      </c>
    </row>
    <row r="8" ht="26.25" customHeight="1" s="313">
      <c r="A8" s="319" t="inlineStr">
        <is>
          <t>Item</t>
        </is>
      </c>
      <c r="B8" s="319" t="inlineStr">
        <is>
          <t>Base de cálculo</t>
        </is>
      </c>
      <c r="C8" s="319" t="inlineStr">
        <is>
          <t>Densidade (W/unidade)</t>
        </is>
      </c>
      <c r="D8" s="319" t="inlineStr">
        <is>
          <t>Horas/dia</t>
        </is>
      </c>
      <c r="E8" s="319" t="inlineStr">
        <is>
          <t>Fórmula (kWh/ano)</t>
        </is>
      </c>
      <c r="F8" s="319" t="inlineStr">
        <is>
          <t>kWh/ano estimado</t>
        </is>
      </c>
      <c r="G8" s="319" t="inlineStr">
        <is>
          <t>Observação</t>
        </is>
      </c>
    </row>
    <row r="9">
      <c r="A9" s="314" t="inlineStr">
        <is>
          <t>HIDROPONIA — escala por m²</t>
        </is>
      </c>
      <c r="B9" s="315" t="n"/>
      <c r="C9" s="315" t="n"/>
      <c r="D9" s="315" t="n"/>
      <c r="E9" s="315" t="n"/>
      <c r="F9" s="315" t="n"/>
      <c r="G9" s="316" t="n"/>
    </row>
    <row r="10">
      <c r="A10" s="320" t="inlineStr">
        <is>
          <t>Iluminação (LED suplementar)</t>
        </is>
      </c>
      <c r="B10" s="320" t="inlineStr">
        <is>
          <t>W/m²</t>
        </is>
      </c>
      <c r="C10" s="321" t="inlineStr">
        <is>
          <t>80-120 (méd 100)</t>
        </is>
      </c>
      <c r="D10" s="321" t="n">
        <v>12</v>
      </c>
      <c r="E10" s="320" t="inlineStr">
        <is>
          <t>100 x D5 x 12h x 365 / 1000</t>
        </is>
      </c>
      <c r="F10" s="322">
        <f>100*$D$5*12*365/1000</f>
        <v/>
      </c>
      <c r="G10" s="320" t="inlineStr">
        <is>
          <t>Iluminação suplementar, ciclo 12h/dia</t>
        </is>
      </c>
    </row>
    <row r="11">
      <c r="A11" s="320" t="inlineStr">
        <is>
          <t>Ventiladores (exaustão)</t>
        </is>
      </c>
      <c r="B11" s="320" t="inlineStr">
        <is>
          <t>W/m²</t>
        </is>
      </c>
      <c r="C11" s="321" t="inlineStr">
        <is>
          <t>5-10 (méd 7.5)</t>
        </is>
      </c>
      <c r="D11" s="321" t="n">
        <v>12</v>
      </c>
      <c r="E11" s="320" t="inlineStr">
        <is>
          <t>7.5 x D5 x 12h x 365 / 1000</t>
        </is>
      </c>
      <c r="F11" s="322">
        <f>7.5*$D$5*12*365/1000</f>
        <v/>
      </c>
      <c r="G11" s="320" t="inlineStr">
        <is>
          <t>Ciclado por termostato</t>
        </is>
      </c>
    </row>
    <row r="12">
      <c r="A12" s="320" t="inlineStr">
        <is>
          <t>De-humidifier</t>
        </is>
      </c>
      <c r="B12" s="320" t="inlineStr">
        <is>
          <t>W/m²</t>
        </is>
      </c>
      <c r="C12" s="321" t="inlineStr">
        <is>
          <t>15-30 (méd 22.5)</t>
        </is>
      </c>
      <c r="D12" s="321" t="n">
        <v>8</v>
      </c>
      <c r="E12" s="320" t="inlineStr">
        <is>
          <t>22.5 x D5 x 8h x 365 / 1000</t>
        </is>
      </c>
      <c r="F12" s="322">
        <f>22.5*$D$5*8*365/1000</f>
        <v/>
      </c>
      <c r="G12" s="320" t="inlineStr">
        <is>
          <t>Uso intermitente conforme umidade</t>
        </is>
      </c>
    </row>
    <row r="13">
      <c r="A13" s="320" t="inlineStr">
        <is>
          <t>Hanging/moving Gutter system</t>
        </is>
      </c>
      <c r="B13" s="320" t="inlineStr">
        <is>
          <t>W/m²</t>
        </is>
      </c>
      <c r="C13" s="321" t="inlineStr">
        <is>
          <t>2-4 (méd 3)</t>
        </is>
      </c>
      <c r="D13" s="321" t="n">
        <v>24</v>
      </c>
      <c r="E13" s="320" t="inlineStr">
        <is>
          <t>3 x D5 x 24h x 365 / 1000</t>
        </is>
      </c>
      <c r="F13" s="322">
        <f>3*$D$5*24*365/1000</f>
        <v/>
      </c>
      <c r="G13" s="320" t="inlineStr">
        <is>
          <t>Motor de movimentação intermitente</t>
        </is>
      </c>
    </row>
    <row r="14">
      <c r="A14" s="320" t="inlineStr">
        <is>
          <t>Hydroponics Pump</t>
        </is>
      </c>
      <c r="B14" s="320" t="inlineStr">
        <is>
          <t>W/m²</t>
        </is>
      </c>
      <c r="C14" s="321" t="inlineStr">
        <is>
          <t>2-4 (méd 3)</t>
        </is>
      </c>
      <c r="D14" s="321" t="n">
        <v>24</v>
      </c>
      <c r="E14" s="320" t="inlineStr">
        <is>
          <t>3 x D5 x 24h x 365 / 1000</t>
        </is>
      </c>
      <c r="F14" s="322">
        <f>3*$D$5*24*365/1000</f>
        <v/>
      </c>
      <c r="G14" s="320" t="inlineStr">
        <is>
          <t>Recirculação contínua da solução nutritiva</t>
        </is>
      </c>
    </row>
    <row r="15">
      <c r="A15" s="314" t="inlineStr">
        <is>
          <t>RAS — escala por m³ (volume de água)</t>
        </is>
      </c>
      <c r="B15" s="315" t="n"/>
      <c r="C15" s="315" t="n"/>
      <c r="D15" s="315" t="n"/>
      <c r="E15" s="315" t="n"/>
      <c r="F15" s="315" t="n"/>
      <c r="G15" s="316" t="n"/>
    </row>
    <row r="16">
      <c r="A16" s="320" t="inlineStr">
        <is>
          <t>RAS Pump</t>
        </is>
      </c>
      <c r="B16" s="320" t="inlineStr">
        <is>
          <t>W/m³</t>
        </is>
      </c>
      <c r="C16" s="321" t="inlineStr">
        <is>
          <t>10-20 (méd 15)</t>
        </is>
      </c>
      <c r="D16" s="321" t="n">
        <v>24</v>
      </c>
      <c r="E16" s="320" t="inlineStr">
        <is>
          <t>15 x D4 x 24h x 365 / 1000</t>
        </is>
      </c>
      <c r="F16" s="322">
        <f>15*$D$4*24*365/1000</f>
        <v/>
      </c>
      <c r="G16" s="320" t="inlineStr">
        <is>
          <t>Recirculação contínua, baixa carga</t>
        </is>
      </c>
    </row>
    <row r="17">
      <c r="A17" s="320" t="inlineStr">
        <is>
          <t>Gas Exchange</t>
        </is>
      </c>
      <c r="B17" s="320" t="inlineStr">
        <is>
          <t>W/m³</t>
        </is>
      </c>
      <c r="C17" s="321" t="inlineStr">
        <is>
          <t>3-6 (méd 4.5)</t>
        </is>
      </c>
      <c r="D17" s="321" t="n">
        <v>24</v>
      </c>
      <c r="E17" s="320" t="inlineStr">
        <is>
          <t>4.5 x D4 x 24h x 365 / 1000</t>
        </is>
      </c>
      <c r="F17" s="322">
        <f>4.5*$D$4*24*365/1000</f>
        <v/>
      </c>
      <c r="G17" s="320" t="inlineStr">
        <is>
          <t>Degasagem contínua</t>
        </is>
      </c>
    </row>
    <row r="18">
      <c r="A18" s="320" t="inlineStr">
        <is>
          <t>Oxygen enrichment</t>
        </is>
      </c>
      <c r="B18" s="320" t="inlineStr">
        <is>
          <t>W/m³</t>
        </is>
      </c>
      <c r="C18" s="321" t="inlineStr">
        <is>
          <t>80-120 (méd 100)</t>
        </is>
      </c>
      <c r="D18" s="321" t="n">
        <v>24</v>
      </c>
      <c r="E18" s="320" t="inlineStr">
        <is>
          <t>100 x D4 x 24h x 365 / 1000</t>
        </is>
      </c>
      <c r="F18" s="322">
        <f>100*$D$4*24*365/1000</f>
        <v/>
      </c>
      <c r="G18" s="320" t="inlineStr">
        <is>
          <t>Gerador/concentrador de O₂, alto consumo</t>
        </is>
      </c>
    </row>
    <row r="19">
      <c r="A19" s="320" t="inlineStr">
        <is>
          <t>Ozone enrichment</t>
        </is>
      </c>
      <c r="B19" s="320" t="inlineStr">
        <is>
          <t>W/m³</t>
        </is>
      </c>
      <c r="C19" s="321" t="inlineStr">
        <is>
          <t>10-15 (méd 12.5)</t>
        </is>
      </c>
      <c r="D19" s="321" t="n">
        <v>12</v>
      </c>
      <c r="E19" s="320" t="inlineStr">
        <is>
          <t>12.5 x D4 x 12h x 365 / 1000</t>
        </is>
      </c>
      <c r="F19" s="322">
        <f>12.5*$D$4*12*365/1000</f>
        <v/>
      </c>
      <c r="G19" s="320" t="inlineStr">
        <is>
          <t>Gerador de ozônio, ciclado</t>
        </is>
      </c>
    </row>
    <row r="20">
      <c r="A20" s="320" t="inlineStr">
        <is>
          <t>Heat Exchanger (elétrico)</t>
        </is>
      </c>
      <c r="B20" s="320" t="inlineStr">
        <is>
          <t>W/m³</t>
        </is>
      </c>
      <c r="C20" s="321" t="inlineStr">
        <is>
          <t>150-250 (méd 200)</t>
        </is>
      </c>
      <c r="D20" s="321" t="n">
        <v>4</v>
      </c>
      <c r="E20" s="320" t="inlineStr">
        <is>
          <t>200 x D4 x 4h x 365 / 1000</t>
        </is>
      </c>
      <c r="F20" s="322">
        <f>200*$D$4*4*365/1000</f>
        <v/>
      </c>
      <c r="G20" s="320" t="inlineStr">
        <is>
          <t>Ciclo termostático equivalente</t>
        </is>
      </c>
    </row>
    <row r="21">
      <c r="A21" s="320" t="inlineStr">
        <is>
          <t>UV-sterilization</t>
        </is>
      </c>
      <c r="B21" s="320" t="inlineStr">
        <is>
          <t>W/m³</t>
        </is>
      </c>
      <c r="C21" s="321" t="inlineStr">
        <is>
          <t>15-25 (méd 20)</t>
        </is>
      </c>
      <c r="D21" s="321" t="n">
        <v>24</v>
      </c>
      <c r="E21" s="320" t="inlineStr">
        <is>
          <t>20 x D4 x 24h x 365 / 1000</t>
        </is>
      </c>
      <c r="F21" s="322">
        <f>20*$D$4*24*365/1000</f>
        <v/>
      </c>
      <c r="G21" s="320" t="inlineStr">
        <is>
          <t>Proporcional à vazão tratada</t>
        </is>
      </c>
    </row>
    <row r="22">
      <c r="A22" s="320" t="inlineStr">
        <is>
          <t>USBR (denitrificação)</t>
        </is>
      </c>
      <c r="B22" s="320" t="inlineStr">
        <is>
          <t>W/m³</t>
        </is>
      </c>
      <c r="C22" s="321" t="inlineStr">
        <is>
          <t>3-5 (méd 4)</t>
        </is>
      </c>
      <c r="D22" s="321" t="n">
        <v>24</v>
      </c>
      <c r="E22" s="320" t="inlineStr">
        <is>
          <t>4 x D4 x 24h x 365 / 1000</t>
        </is>
      </c>
      <c r="F22" s="322">
        <f>4*$D$4*24*365/1000</f>
        <v/>
      </c>
      <c r="G22" s="320" t="inlineStr">
        <is>
          <t>Pequena bomba de alimentação do reator</t>
        </is>
      </c>
    </row>
    <row r="23">
      <c r="A23" s="320" t="inlineStr">
        <is>
          <t>Drum Filter</t>
        </is>
      </c>
      <c r="B23" s="320" t="inlineStr">
        <is>
          <t>W/m³ (equiv.)</t>
        </is>
      </c>
      <c r="C23" s="321" t="inlineStr">
        <is>
          <t>2-4 (méd 3)</t>
        </is>
      </c>
      <c r="D23" s="321" t="n">
        <v>2</v>
      </c>
      <c r="E23" s="320" t="inlineStr">
        <is>
          <t>3 x D4 x 2h x 365 / 1000</t>
        </is>
      </c>
      <c r="F23" s="322">
        <f>3*$D$4*2*365/1000</f>
        <v/>
      </c>
      <c r="G23" s="320" t="inlineStr">
        <is>
          <t>Motor potente, duty cycle baixo (~10%)</t>
        </is>
      </c>
    </row>
    <row r="24">
      <c r="A24" s="320" t="inlineStr">
        <is>
          <t>Aerobic mineralization</t>
        </is>
      </c>
      <c r="B24" s="320" t="inlineStr">
        <is>
          <t>W/m³</t>
        </is>
      </c>
      <c r="C24" s="321" t="inlineStr">
        <is>
          <t>30-50 (méd 40)</t>
        </is>
      </c>
      <c r="D24" s="321" t="n">
        <v>24</v>
      </c>
      <c r="E24" s="320" t="inlineStr">
        <is>
          <t>40 x D4 x 24h x 365 / 1000</t>
        </is>
      </c>
      <c r="F24" s="322">
        <f>40*$D$4*24*365/1000</f>
        <v/>
      </c>
      <c r="G24" s="320" t="inlineStr">
        <is>
          <t>Aeração/mistura contínua</t>
        </is>
      </c>
    </row>
    <row r="25">
      <c r="A25" s="320" t="inlineStr">
        <is>
          <t>UASB Mineralization</t>
        </is>
      </c>
      <c r="B25" s="320" t="inlineStr">
        <is>
          <t>W/m³</t>
        </is>
      </c>
      <c r="C25" s="321" t="inlineStr">
        <is>
          <t>2-3 (méd 2.5)</t>
        </is>
      </c>
      <c r="D25" s="321" t="n">
        <v>24</v>
      </c>
      <c r="E25" s="320" t="inlineStr">
        <is>
          <t>2.5 x D4 x 24h x 365 / 1000</t>
        </is>
      </c>
      <c r="F25" s="322">
        <f>2.5*$D$4*24*365/1000</f>
        <v/>
      </c>
      <c r="G25" s="320" t="inlineStr">
        <is>
          <t>Fluxo ascendente passivo + bomba pequena</t>
        </is>
      </c>
    </row>
    <row r="26">
      <c r="A26" s="320" t="inlineStr">
        <is>
          <t>EGSB Mineralization</t>
        </is>
      </c>
      <c r="B26" s="320" t="inlineStr">
        <is>
          <t>W/m³</t>
        </is>
      </c>
      <c r="C26" s="321" t="inlineStr">
        <is>
          <t>8-12 (méd 10)</t>
        </is>
      </c>
      <c r="D26" s="321" t="n">
        <v>24</v>
      </c>
      <c r="E26" s="320" t="inlineStr">
        <is>
          <t>10 x D4 x 24h x 365 / 1000</t>
        </is>
      </c>
      <c r="F26" s="322">
        <f>10*$D$4*24*365/1000</f>
        <v/>
      </c>
      <c r="G26" s="320" t="inlineStr">
        <is>
          <t>Recirculação p/ velocidade ascensional alta</t>
        </is>
      </c>
    </row>
    <row r="27">
      <c r="A27" s="320" t="inlineStr">
        <is>
          <t>Gravity Separation (RFS)</t>
        </is>
      </c>
      <c r="B27" s="320" t="inlineStr">
        <is>
          <t>W/m³</t>
        </is>
      </c>
      <c r="C27" s="321" t="inlineStr">
        <is>
          <t>1-2 (méd 1.5)</t>
        </is>
      </c>
      <c r="D27" s="321" t="n">
        <v>2</v>
      </c>
      <c r="E27" s="320" t="inlineStr">
        <is>
          <t>1.5 x D4 x 2h x 365 / 1000</t>
        </is>
      </c>
      <c r="F27" s="322">
        <f>1.5*$D$4*2*365/1000</f>
        <v/>
      </c>
      <c r="G27" s="320" t="inlineStr">
        <is>
          <t>Quase todo passivo, bomba de purga do lodo</t>
        </is>
      </c>
    </row>
    <row r="28">
      <c r="A28" s="320" t="inlineStr">
        <is>
          <t>Biofloc (aeração/mistura)</t>
        </is>
      </c>
      <c r="B28" s="320" t="inlineStr">
        <is>
          <t>W/m³</t>
        </is>
      </c>
      <c r="C28" s="321" t="inlineStr">
        <is>
          <t>15-25 (méd 20)</t>
        </is>
      </c>
      <c r="D28" s="321" t="n">
        <v>24</v>
      </c>
      <c r="E28" s="320" t="inlineStr">
        <is>
          <t>20 x D4 x 24h x 365 / 1000</t>
        </is>
      </c>
      <c r="F28" s="322">
        <f>20*$D$4*24*365/1000</f>
        <v/>
      </c>
      <c r="G28" s="320" t="inlineStr">
        <is>
          <t>Requer aeração/mistura contínua</t>
        </is>
      </c>
    </row>
    <row r="29">
      <c r="A29" s="320" t="inlineStr">
        <is>
          <t>Desalinização/RO</t>
        </is>
      </c>
      <c r="B29" s="320" t="inlineStr">
        <is>
          <t>W/m³</t>
        </is>
      </c>
      <c r="C29" s="321" t="inlineStr">
        <is>
          <t>300-500 (méd 400)</t>
        </is>
      </c>
      <c r="D29" s="321" t="n">
        <v>4</v>
      </c>
      <c r="E29" s="320" t="inlineStr">
        <is>
          <t>400 x D4 x 4h x 365 / 1000</t>
        </is>
      </c>
      <c r="F29" s="322">
        <f>400*$D$4*4*365/1000</f>
        <v/>
      </c>
      <c r="G29" s="320" t="inlineStr">
        <is>
          <t>Alta potência, uso limitado a poucas horas</t>
        </is>
      </c>
    </row>
    <row r="30">
      <c r="A30" s="320" t="inlineStr">
        <is>
          <t>Hot and Cold Water tank</t>
        </is>
      </c>
      <c r="B30" s="320" t="inlineStr">
        <is>
          <t>W/m³</t>
        </is>
      </c>
      <c r="C30" s="321" t="inlineStr">
        <is>
          <t>100-150 (méd 125)</t>
        </is>
      </c>
      <c r="D30" s="321" t="n">
        <v>4</v>
      </c>
      <c r="E30" s="320" t="inlineStr">
        <is>
          <t>125 x D4 x 4h x 365 / 1000</t>
        </is>
      </c>
      <c r="F30" s="322">
        <f>125*$D$4*4*365/1000</f>
        <v/>
      </c>
      <c r="G30" s="320" t="inlineStr">
        <is>
          <t>Ciclo termostático equivalente</t>
        </is>
      </c>
    </row>
    <row r="31">
      <c r="A31" s="314" t="inlineStr">
        <is>
          <t>POR TANQUE — escala por número de tanques</t>
        </is>
      </c>
      <c r="B31" s="315" t="n"/>
      <c r="C31" s="315" t="n"/>
      <c r="D31" s="315" t="n"/>
      <c r="E31" s="315" t="n"/>
      <c r="F31" s="315" t="n"/>
      <c r="G31" s="316" t="n"/>
    </row>
    <row r="32">
      <c r="A32" s="320" t="inlineStr">
        <is>
          <t>pH sensor</t>
        </is>
      </c>
      <c r="B32" s="320" t="inlineStr">
        <is>
          <t>W/tanque</t>
        </is>
      </c>
      <c r="C32" s="321" t="inlineStr">
        <is>
          <t>2-2 (méd 2)</t>
        </is>
      </c>
      <c r="D32" s="321" t="n">
        <v>24</v>
      </c>
      <c r="E32" s="320" t="inlineStr">
        <is>
          <t>2 x D6 x 24h x 365 / 1000</t>
        </is>
      </c>
      <c r="F32" s="322">
        <f>2*$D$6*24*365/1000</f>
        <v/>
      </c>
      <c r="G32" s="320" t="inlineStr">
        <is>
          <t>Eletrônica de monitoramento contínuo</t>
        </is>
      </c>
    </row>
    <row r="33">
      <c r="A33" s="320" t="inlineStr">
        <is>
          <t>Aeration Pump</t>
        </is>
      </c>
      <c r="B33" s="320" t="inlineStr">
        <is>
          <t>W/tanque</t>
        </is>
      </c>
      <c r="C33" s="321" t="inlineStr">
        <is>
          <t>30-50 (méd 40)</t>
        </is>
      </c>
      <c r="D33" s="321" t="n">
        <v>24</v>
      </c>
      <c r="E33" s="320" t="inlineStr">
        <is>
          <t>40 x D6 x 24h x 365 / 1000</t>
        </is>
      </c>
      <c r="F33" s="322">
        <f>40*$D$6*24*365/1000</f>
        <v/>
      </c>
      <c r="G33" s="320" t="inlineStr">
        <is>
          <t>Aeração do tanque de peixe, contínua</t>
        </is>
      </c>
    </row>
    <row r="34">
      <c r="A34" s="320" t="inlineStr">
        <is>
          <t>TAN sensor</t>
        </is>
      </c>
      <c r="B34" s="320" t="inlineStr">
        <is>
          <t>W/tanque</t>
        </is>
      </c>
      <c r="C34" s="321" t="inlineStr">
        <is>
          <t>3-3 (méd 3)</t>
        </is>
      </c>
      <c r="D34" s="321" t="n">
        <v>24</v>
      </c>
      <c r="E34" s="320" t="inlineStr">
        <is>
          <t>3 x D6 x 24h x 365 / 1000</t>
        </is>
      </c>
      <c r="F34" s="322">
        <f>3*$D$6*24*365/1000</f>
        <v/>
      </c>
      <c r="G34" s="320" t="inlineStr">
        <is>
          <t>Sonda contínua</t>
        </is>
      </c>
    </row>
    <row r="35">
      <c r="A35" s="320" t="inlineStr">
        <is>
          <t>DO sensor</t>
        </is>
      </c>
      <c r="B35" s="320" t="inlineStr">
        <is>
          <t>W/tanque</t>
        </is>
      </c>
      <c r="C35" s="321" t="inlineStr">
        <is>
          <t>2-2 (méd 2)</t>
        </is>
      </c>
      <c r="D35" s="321" t="n">
        <v>24</v>
      </c>
      <c r="E35" s="320" t="inlineStr">
        <is>
          <t>2 x D6 x 24h x 365 / 1000</t>
        </is>
      </c>
      <c r="F35" s="322">
        <f>2*$D$6*24*365/1000</f>
        <v/>
      </c>
      <c r="G35" s="320" t="inlineStr">
        <is>
          <t>Sonda contínua</t>
        </is>
      </c>
    </row>
    <row r="36">
      <c r="A36" s="320" t="inlineStr">
        <is>
          <t>EC sensor</t>
        </is>
      </c>
      <c r="B36" s="320" t="inlineStr">
        <is>
          <t>W/tanque</t>
        </is>
      </c>
      <c r="C36" s="321" t="inlineStr">
        <is>
          <t>2-2 (méd 2)</t>
        </is>
      </c>
      <c r="D36" s="321" t="n">
        <v>24</v>
      </c>
      <c r="E36" s="320" t="inlineStr">
        <is>
          <t>2 x D6 x 24h x 365 / 1000</t>
        </is>
      </c>
      <c r="F36" s="322">
        <f>2*$D$6*24*365/1000</f>
        <v/>
      </c>
      <c r="G36" s="320" t="inlineStr">
        <is>
          <t>Sonda contínua</t>
        </is>
      </c>
    </row>
    <row r="37">
      <c r="A37" s="320" t="inlineStr">
        <is>
          <t>Automatic Feeder</t>
        </is>
      </c>
      <c r="B37" s="320" t="inlineStr">
        <is>
          <t>W/tanque</t>
        </is>
      </c>
      <c r="C37" s="321" t="inlineStr">
        <is>
          <t>3-6 (méd 4.5)</t>
        </is>
      </c>
      <c r="D37" s="321" t="n">
        <v>24</v>
      </c>
      <c r="E37" s="320" t="inlineStr">
        <is>
          <t>4.5 x D6 x 24h x 365 / 1000</t>
        </is>
      </c>
      <c r="F37" s="322">
        <f>4.5*$D$6*24*365/1000</f>
        <v/>
      </c>
      <c r="G37" s="320" t="inlineStr">
        <is>
          <t>Controlador em standby + ciclos curtos</t>
        </is>
      </c>
    </row>
    <row r="38">
      <c r="A38" s="320" t="inlineStr">
        <is>
          <t>Fish-pump / escalator</t>
        </is>
      </c>
      <c r="B38" s="320" t="inlineStr">
        <is>
          <t>W/tanque</t>
        </is>
      </c>
      <c r="C38" s="321" t="inlineStr">
        <is>
          <t>400-600 (méd 500)</t>
        </is>
      </c>
      <c r="D38" s="321" t="n">
        <v>0.1</v>
      </c>
      <c r="E38" s="320" t="inlineStr">
        <is>
          <t>500 x D6 x 0.1h x 365 / 1000</t>
        </is>
      </c>
      <c r="F38" s="322">
        <f>500*$D$6*0.1*365/1000</f>
        <v/>
      </c>
      <c r="G38" s="320" t="inlineStr">
        <is>
          <t>Uso pontual (despesca, ~6 min/dia)</t>
        </is>
      </c>
    </row>
    <row r="39">
      <c r="A39" s="314" t="inlineStr">
        <is>
          <t>TOTAL ESTIMADO (kWh/ano)</t>
        </is>
      </c>
      <c r="B39" s="315" t="n"/>
      <c r="C39" s="315" t="n"/>
      <c r="D39" s="315" t="n"/>
      <c r="E39" s="316" t="n"/>
      <c r="F39" s="323">
        <f>SUM(F9:F38)</f>
        <v/>
      </c>
    </row>
    <row r="41">
      <c r="A41" s="324" t="inlineStr">
        <is>
          <t>Notas: (1) Cada linha usa densidade média (W/unidade) x variável de escala (m³, m² ou nº tanques) x horas/dia x 365 / 1000. (2) Itens sem coluna de 'W/unidade' porque a fórmula usa a densidade média direto na coluna E/F — ajuste os inputs em D4:D6 para recalcular tudo automaticamente. (3) Itens puramente passivos (RAS enclosure, Sump, Fish Tank, Biofilter estrutural, Greenhouse, Biologic/Periphyton Surface Area, Solar Panels, Emergency generator) não estão nesta tabela pois não consomem eletricidade de rede continuamente.</t>
        </is>
      </c>
      <c r="B41" s="315" t="n"/>
      <c r="C41" s="315" t="n"/>
      <c r="D41" s="315" t="n"/>
      <c r="E41" s="315" t="n"/>
      <c r="F41" s="315" t="n"/>
      <c r="G41" s="316" t="n"/>
    </row>
  </sheetData>
  <mergeCells count="10">
    <mergeCell ref="A39:E39"/>
    <mergeCell ref="A1:G1"/>
    <mergeCell ref="A9:G9"/>
    <mergeCell ref="A5:C5"/>
    <mergeCell ref="A31:G31"/>
    <mergeCell ref="A3:G3"/>
    <mergeCell ref="A41:G41"/>
    <mergeCell ref="A6:C6"/>
    <mergeCell ref="A15:G15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I6"/>
  <sheetViews>
    <sheetView workbookViewId="0">
      <selection activeCell="H4" sqref="H4"/>
    </sheetView>
  </sheetViews>
  <sheetFormatPr baseColWidth="8" defaultRowHeight="14.25"/>
  <cols>
    <col width="14.796875" customWidth="1" style="313" min="9" max="9"/>
  </cols>
  <sheetData>
    <row r="2">
      <c r="D2" t="n">
        <v>1</v>
      </c>
      <c r="G2" t="inlineStr">
        <is>
          <t>max space</t>
        </is>
      </c>
      <c r="H2" t="n">
        <v>20000</v>
      </c>
    </row>
    <row r="3" ht="18" customHeight="1" s="313">
      <c r="D3">
        <f>SUM(D5,D6)</f>
        <v/>
      </c>
      <c r="H3">
        <f>(F6/H6)*D6+(F5/H5)*D5</f>
        <v/>
      </c>
      <c r="I3" s="24">
        <f>SUM(I5:I6)</f>
        <v/>
      </c>
    </row>
    <row r="4">
      <c r="D4" t="inlineStr">
        <is>
          <t>binary</t>
        </is>
      </c>
      <c r="F4" t="inlineStr">
        <is>
          <t>Qty</t>
        </is>
      </c>
      <c r="G4" t="inlineStr">
        <is>
          <t>Unit price</t>
        </is>
      </c>
      <c r="H4" t="inlineStr">
        <is>
          <t>size plants/m2</t>
        </is>
      </c>
    </row>
    <row r="5">
      <c r="C5" t="inlineStr">
        <is>
          <t>Tilapia</t>
        </is>
      </c>
      <c r="D5" s="3" t="n">
        <v>1</v>
      </c>
      <c r="F5" s="3" t="n">
        <v>10000</v>
      </c>
      <c r="G5" t="n">
        <v>5</v>
      </c>
      <c r="H5" s="3" t="n">
        <v>1</v>
      </c>
      <c r="I5">
        <f>G5*F5*D5</f>
        <v/>
      </c>
    </row>
    <row r="6">
      <c r="C6" t="inlineStr">
        <is>
          <t>Trout</t>
        </is>
      </c>
      <c r="D6" s="3" t="n">
        <v>0</v>
      </c>
      <c r="F6" s="3" t="n">
        <v>10000</v>
      </c>
      <c r="G6" t="n">
        <v>3</v>
      </c>
      <c r="H6" s="3" t="n">
        <v>1</v>
      </c>
      <c r="I6">
        <f>G6*F6*D6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:I6"/>
  <sheetViews>
    <sheetView workbookViewId="0">
      <selection activeCell="I22" sqref="I22"/>
    </sheetView>
  </sheetViews>
  <sheetFormatPr baseColWidth="8" defaultRowHeight="14.25"/>
  <sheetData>
    <row r="2">
      <c r="D2" t="n">
        <v>1</v>
      </c>
      <c r="G2" t="inlineStr">
        <is>
          <t>max space</t>
        </is>
      </c>
      <c r="H2" t="n">
        <v>20000</v>
      </c>
    </row>
    <row r="3" ht="18" customHeight="1" s="313">
      <c r="D3">
        <f>SUM(D5,D6)</f>
        <v/>
      </c>
      <c r="H3">
        <f>(F6/H6)*D6+(F5/H5)*D5</f>
        <v/>
      </c>
      <c r="I3" s="24">
        <f>SUM(I5:I6)</f>
        <v/>
      </c>
    </row>
    <row r="4">
      <c r="D4" t="inlineStr">
        <is>
          <t>binary</t>
        </is>
      </c>
      <c r="F4" t="inlineStr">
        <is>
          <t>Qty</t>
        </is>
      </c>
      <c r="G4" t="inlineStr">
        <is>
          <t>Unit price</t>
        </is>
      </c>
      <c r="H4" t="inlineStr">
        <is>
          <t>size plants/m2</t>
        </is>
      </c>
    </row>
    <row r="5">
      <c r="C5" t="inlineStr">
        <is>
          <t>Tilapia</t>
        </is>
      </c>
      <c r="D5" s="3" t="n">
        <v>1</v>
      </c>
      <c r="F5" s="3" t="n">
        <v>0</v>
      </c>
      <c r="G5" t="n">
        <v>2</v>
      </c>
      <c r="H5" s="3" t="n">
        <v>100</v>
      </c>
      <c r="I5">
        <f>G5*F5*D5</f>
        <v/>
      </c>
    </row>
    <row r="6">
      <c r="C6" t="inlineStr">
        <is>
          <t>Trout</t>
        </is>
      </c>
      <c r="D6" s="3" t="n">
        <v>0</v>
      </c>
      <c r="F6" s="3" t="n">
        <v>0</v>
      </c>
      <c r="G6" t="n">
        <v>3</v>
      </c>
      <c r="H6" s="3" t="n">
        <v>1</v>
      </c>
      <c r="I6">
        <f>G6*F6*D6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topLeftCell="A6" workbookViewId="0">
      <selection activeCell="H56" sqref="H56"/>
    </sheetView>
  </sheetViews>
  <sheetFormatPr baseColWidth="8" defaultRowHeight="14.25"/>
  <sheetData>
    <row r="1">
      <c r="A1" t="inlineStr">
        <is>
          <t>TIMMONS</t>
        </is>
      </c>
    </row>
    <row r="2">
      <c r="A2" t="inlineStr">
        <is>
          <t xml:space="preserve">Change UV bulbs at least once a year. </t>
        </is>
      </c>
    </row>
    <row r="3" ht="14.65" customHeight="1" s="313">
      <c r="A3" s="1" t="inlineStr">
        <is>
          <t>Power failure is probably the most common emergency and the one most easily monitored.</t>
        </is>
      </c>
    </row>
    <row r="4">
      <c r="A4" t="inlineStr">
        <is>
          <t xml:space="preserve">Backup electricity can be provided by a generator that is fueled with gasoline, diesel, or natural or propane gas. </t>
        </is>
      </c>
    </row>
    <row r="5">
      <c r="A5" t="inlineStr">
        <is>
          <t xml:space="preserve">At a minimum the laboratory will include equipment for water quality analysis, a microscope for fish health management, a refrigerator for chemicals and samples, and a computer for data analysis and storage. </t>
        </is>
      </c>
    </row>
    <row r="6">
      <c r="A6" t="inlineStr">
        <is>
          <t xml:space="preserve">Some Norwegian salmon fanners use grading to cull the smallest, least efficient feeders and might remove as much as 50% of the population. Maintaining inefficient feeders can create a 30-50% increase in production costs; </t>
        </is>
      </c>
    </row>
    <row r="7">
      <c r="A7" t="inlineStr">
        <is>
          <t xml:space="preserve">A monthly sampling interval is a reasonable compromise between minimizing stress and maximizing accuracy. </t>
        </is>
      </c>
    </row>
    <row r="9">
      <c r="A9" t="inlineStr">
        <is>
          <t>FAO</t>
        </is>
      </c>
    </row>
    <row r="10">
      <c r="A10" s="2" t="inlineStr">
        <is>
          <t>o guarantee a long life span and energy efficiency. Top-quality pumps will maintain their pumping capacity and efficiency for least 1–2  years, with an overall life span of 3–5  years, w</t>
        </is>
      </c>
    </row>
    <row r="11">
      <c r="A11" t="inlineStr">
        <is>
          <t>the small-scale units described in this publication need a flow rate of 2 000 litres/h at a head height of 1.5 meters; a submersible pump of this capacity would consume 25–50 W/h.</t>
        </is>
      </c>
    </row>
    <row r="12">
      <c r="A12" t="inlineStr">
        <is>
          <t>The suggested rate is 5–8 litres of air per minute for each cubic metre of water, coming from at least 2 air stones in different locations in the fish tank. Densely stocked units may require considerably more.</t>
        </is>
      </c>
    </row>
    <row r="13">
      <c r="A13" t="inlineStr">
        <is>
          <t>Tilapias can be aggressive, especially in low densities, because males are territorial. Therefore, the fish should be kept at high densities in the grow-out tanks. Some farms only use male fish in the grow-out tanks;</t>
        </is>
      </c>
    </row>
    <row r="16" ht="15" customHeight="1" s="313">
      <c r="A16" s="135" t="inlineStr">
        <is>
          <t>Computation of feed conversion ratio (FCRplant) and plant-fish mass ratio (PFRM) for aquaponic systems</t>
        </is>
      </c>
    </row>
    <row r="19">
      <c r="A19" s="139" t="inlineStr">
        <is>
          <t>UVI benchmark verification Rakocy et al. 2006, SRAC 454</t>
        </is>
      </c>
    </row>
    <row r="20">
      <c r="A20" s="140" t="inlineStr">
        <is>
          <t>Stocking density (Nile tilapia)77 fish/m³</t>
        </is>
      </c>
    </row>
    <row r="21">
      <c r="A21" s="140" t="inlineStr">
        <is>
          <t>Harvest biomass density61.5 kg/m³/cycle</t>
        </is>
      </c>
    </row>
    <row r="22">
      <c r="A22" s="140" t="inlineStr">
        <is>
          <t>Annual yield per m³~133 kg/m³/yr</t>
        </is>
      </c>
    </row>
    <row r="23">
      <c r="A23" s="140" t="inlineStr">
        <is>
          <t>Your input (134 kg/m²)109.8 kg/m³ at 1.22 m</t>
        </is>
      </c>
    </row>
    <row r="24">
      <c r="A24" s="140" t="inlineStr">
        <is>
          <t>Consistency with UVIWithin 18% of UVI benchmark ⚠</t>
        </is>
      </c>
    </row>
    <row r="25">
      <c r="A25" s="139" t="inlineStr">
        <is>
          <t>Your stated yield of 134 kg/m² of footprint is highly consistent with the UVI empirical data when accounting for a 1.22 m water depth — a strong validation that your production assumptions are grounded in published results.</t>
        </is>
      </c>
    </row>
    <row r="28">
      <c r="A28" t="inlineStr">
        <is>
          <t>https://www.sciencedirect.com/science/article/abs/pii/0300962989901461?</t>
        </is>
      </c>
    </row>
    <row r="29" ht="15" customHeight="1" s="313">
      <c r="A29" s="135" t="inlineStr">
        <is>
          <t>Heat production of fish: A literature review</t>
        </is>
      </c>
    </row>
    <row r="30">
      <c r="A30" s="218" t="inlineStr">
        <is>
          <t>t is concluded that the heat production of standard metabolism at 20°C is 700J/hr/MW (MW = metabolic weight, kg0.85).</t>
        </is>
      </c>
    </row>
    <row r="32">
      <c r="A32" t="inlineStr">
        <is>
          <t>https://www.redalyc.org/articulo.oa?id=32751197045</t>
        </is>
      </c>
    </row>
    <row r="33">
      <c r="A33" t="inlineStr">
        <is>
          <t>HEf=0.04643×W0.7882×T1.837</t>
        </is>
      </c>
    </row>
    <row r="35">
      <c r="A35" t="inlineStr">
        <is>
          <t xml:space="preserve">Water utility cost per country </t>
        </is>
      </c>
    </row>
    <row r="36">
      <c r="A36" s="251" t="inlineStr">
        <is>
          <t>Tariffs dashboard | International Benchmarking Network</t>
        </is>
      </c>
    </row>
    <row r="52">
      <c r="B52" t="inlineStr">
        <is>
          <t>GlobalPetrolPrices.com</t>
        </is>
      </c>
      <c r="E52" t="inlineStr">
        <is>
          <t>IBNET/Global Water Intelligence 2012 tariff survey</t>
        </is>
      </c>
    </row>
    <row r="54" ht="42.75" customHeight="1" s="313">
      <c r="A54" t="inlineStr">
        <is>
          <t>Region</t>
        </is>
      </c>
      <c r="B54" s="32" t="inlineStr">
        <is>
          <t>Electricity Low (/kWh)</t>
        </is>
      </c>
      <c r="C54" s="252" t="inlineStr">
        <is>
          <t>ElectricityAvg(/kWh)</t>
        </is>
      </c>
      <c r="D54" s="32" t="inlineStr">
        <is>
          <t>Electricity High (/kWh)</t>
        </is>
      </c>
      <c r="E54" s="32" t="inlineStr">
        <is>
          <t>WaterLow(/m³)</t>
        </is>
      </c>
      <c r="F54" s="252" t="inlineStr">
        <is>
          <t>Water Avg (/m3)</t>
        </is>
      </c>
      <c r="G54" s="32" t="inlineStr">
        <is>
          <t>WaterHigh(/m³)</t>
        </is>
      </c>
    </row>
    <row r="55">
      <c r="A55" t="inlineStr">
        <is>
          <t>Africa</t>
        </is>
      </c>
      <c r="B55" s="326" t="n">
        <v>0.107</v>
      </c>
      <c r="C55" s="327" t="n">
        <v>0.133</v>
      </c>
      <c r="D55" s="326" t="n">
        <v>0.193</v>
      </c>
      <c r="E55" s="326" t="n">
        <v>0.03</v>
      </c>
      <c r="F55" s="327" t="n">
        <v>0.5</v>
      </c>
      <c r="G55" s="326" t="n">
        <v>2</v>
      </c>
    </row>
    <row r="56">
      <c r="A56" t="inlineStr">
        <is>
          <t>Asia</t>
        </is>
      </c>
      <c r="B56" s="326" t="n">
        <v>0.08799999999999999</v>
      </c>
      <c r="C56" s="327" t="n">
        <v>0.107</v>
      </c>
      <c r="D56" s="326" t="n">
        <v>0.15</v>
      </c>
      <c r="E56" s="326" t="n">
        <v>0.01</v>
      </c>
      <c r="F56" s="327" t="n">
        <v>0.3</v>
      </c>
      <c r="G56" s="326" t="n">
        <v>1.5</v>
      </c>
    </row>
    <row r="57">
      <c r="A57" t="inlineStr">
        <is>
          <t>North America</t>
        </is>
      </c>
      <c r="B57" s="326" t="n">
        <v>0.15</v>
      </c>
      <c r="C57" s="327" t="n">
        <v>0.165</v>
      </c>
      <c r="D57" s="326" t="n">
        <v>0.2</v>
      </c>
      <c r="E57" s="326" t="n">
        <v>0.42</v>
      </c>
      <c r="F57" s="327" t="n">
        <v>1</v>
      </c>
      <c r="G57" s="326" t="n">
        <v>1.6</v>
      </c>
    </row>
    <row r="58">
      <c r="A58" t="inlineStr">
        <is>
          <t>South America</t>
        </is>
      </c>
      <c r="B58" s="326" t="n">
        <v>0.165</v>
      </c>
      <c r="C58" s="327" t="n">
        <v>0.203</v>
      </c>
      <c r="D58" s="326" t="n">
        <v>0.23</v>
      </c>
      <c r="E58" s="326" t="n">
        <v>0.2</v>
      </c>
      <c r="F58" s="327" t="n">
        <v>0.8</v>
      </c>
      <c r="G58" s="326" t="n">
        <v>1.5</v>
      </c>
    </row>
    <row r="59">
      <c r="A59" t="inlineStr">
        <is>
          <t>Europe</t>
        </is>
      </c>
      <c r="B59" s="326" t="n">
        <v>0.213</v>
      </c>
      <c r="C59" s="327" t="n">
        <v>0.24</v>
      </c>
      <c r="D59" s="326" t="n">
        <v>0.37</v>
      </c>
      <c r="E59" s="326" t="n">
        <v>1</v>
      </c>
      <c r="F59" s="327" t="n">
        <v>3.5</v>
      </c>
      <c r="G59" s="326" t="n">
        <v>9.210000000000001</v>
      </c>
    </row>
    <row r="60">
      <c r="A60" t="inlineStr">
        <is>
          <t>Oceania</t>
        </is>
      </c>
      <c r="B60" s="326" t="n">
        <v>0.26</v>
      </c>
      <c r="C60" s="327" t="n">
        <v>0.266</v>
      </c>
      <c r="D60" s="326" t="n">
        <v>0.28</v>
      </c>
      <c r="E60" s="326" t="n">
        <v>1</v>
      </c>
      <c r="F60" s="327" t="n">
        <v>4</v>
      </c>
      <c r="G60" s="326" t="n">
        <v>6.47</v>
      </c>
    </row>
  </sheetData>
  <hyperlinks>
    <hyperlink xmlns:r="http://schemas.openxmlformats.org/officeDocument/2006/relationships" ref="A36" display="https://newibnet.org/tariffs-dashboard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/>
  </sheetPr>
  <dimension ref="A1:P51"/>
  <sheetViews>
    <sheetView showGridLines="0" zoomScale="90" zoomScaleNormal="90" workbookViewId="0">
      <selection activeCell="M20" sqref="M20"/>
    </sheetView>
  </sheetViews>
  <sheetFormatPr baseColWidth="8" defaultRowHeight="14.25"/>
  <cols>
    <col width="15.3984375" customWidth="1" style="313" min="1" max="1"/>
    <col width="15.1328125" customWidth="1" style="313" min="2" max="2"/>
    <col width="9.33203125" customWidth="1" style="313" min="3" max="14"/>
    <col width="11.796875" customWidth="1" style="313" min="16" max="16"/>
  </cols>
  <sheetData>
    <row r="1" ht="18" customHeight="1" s="313">
      <c r="A1" s="80" t="inlineStr">
        <is>
          <t>Parameters</t>
        </is>
      </c>
      <c r="B1" s="80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</row>
    <row r="2" ht="18" customHeight="1" s="313">
      <c r="A2" s="80" t="n"/>
      <c r="B2" s="80" t="n"/>
      <c r="C2" s="81" t="n"/>
      <c r="D2" s="81" t="n"/>
      <c r="E2" s="81" t="n"/>
      <c r="F2" s="81" t="n"/>
      <c r="G2" s="81" t="n"/>
      <c r="H2" s="81" t="n"/>
      <c r="I2" s="81" t="n"/>
      <c r="J2" s="81" t="n"/>
      <c r="K2" s="81" t="n"/>
      <c r="L2" s="81" t="n"/>
      <c r="M2" s="81" t="n"/>
      <c r="N2" s="81" t="n"/>
      <c r="O2" s="81" t="n"/>
      <c r="P2" s="81" t="n"/>
    </row>
    <row r="3">
      <c r="A3" s="2" t="inlineStr">
        <is>
          <t>Sizing</t>
        </is>
      </c>
      <c r="K3" s="16" t="inlineStr">
        <is>
          <t>Revenue</t>
        </is>
      </c>
      <c r="L3" s="273">
        <f>J12*I12*H12+H13*I13*J13+H14*I14*J14+H15*I15*J15+H16*I16*J16+H17*I17*J17+H18*I18*J18+H19*I19*J19+H20*I20*J20+H21*I21*J21+H22*I22*J22</f>
        <v/>
      </c>
    </row>
    <row r="4">
      <c r="A4" s="233" t="inlineStr">
        <is>
          <t>Plant-fish mass ratio (PFRM)(Kg/kg)</t>
        </is>
      </c>
      <c r="E4" s="310" t="n">
        <v>3.1</v>
      </c>
    </row>
    <row r="5" ht="14.25" customHeight="1" s="313">
      <c r="A5" s="233" t="inlineStr">
        <is>
          <t>Average tank volume (m³)</t>
        </is>
      </c>
      <c r="B5" s="233" t="n"/>
      <c r="E5" s="310" t="n">
        <v>8</v>
      </c>
    </row>
    <row r="6" ht="28.5" customHeight="1" s="313">
      <c r="A6" s="233" t="inlineStr">
        <is>
          <t>Height tank (m)</t>
        </is>
      </c>
      <c r="B6" s="233" t="n"/>
      <c r="E6" s="310" t="n">
        <v>1.2</v>
      </c>
      <c r="K6" s="16" t="inlineStr">
        <is>
          <t>Production per m²</t>
        </is>
      </c>
      <c r="L6" s="274">
        <f>H12*J12+H13*J13+H14*J14+H15*J15+H16*J16+H17*J17+H18*J18+H19*J19+H20*J20+H21*J21+H22*J22</f>
        <v/>
      </c>
      <c r="M6" t="inlineStr">
        <is>
          <t>&lt;=</t>
        </is>
      </c>
    </row>
    <row r="7" ht="14.25" customHeight="1" s="313">
      <c r="A7" s="233" t="inlineStr">
        <is>
          <t>Administration, Logistics and Service necessary area (%)</t>
        </is>
      </c>
      <c r="B7" s="233" t="n"/>
      <c r="E7" s="141" t="n">
        <v>0.15</v>
      </c>
    </row>
    <row r="8">
      <c r="A8" s="233" t="n"/>
      <c r="B8" s="233" t="n"/>
      <c r="C8" s="141" t="n"/>
      <c r="D8" s="107" t="n"/>
    </row>
    <row r="9" ht="14.25" customHeight="1" s="313">
      <c r="C9" s="63" t="inlineStr">
        <is>
          <t>Life Cycle 
(days/ organism)</t>
        </is>
      </c>
      <c r="D9" s="63" t="inlineStr">
        <is>
          <t>Space occupied (organism /(m²/m³))</t>
        </is>
      </c>
      <c r="E9" s="63" t="inlineStr">
        <is>
          <t>Organism production(kg/organism)</t>
        </is>
      </c>
      <c r="F9" s="63" t="inlineStr">
        <is>
          <t>Full renew (changes/ year)</t>
        </is>
      </c>
      <c r="G9" s="63" t="inlineStr">
        <is>
          <t>Density (kg/m²)</t>
        </is>
      </c>
      <c r="H9" s="63" t="inlineStr">
        <is>
          <t>Space yield (kg/m²)</t>
        </is>
      </c>
      <c r="I9" s="63" t="inlineStr">
        <is>
          <t>Price per kg ($)</t>
        </is>
      </c>
      <c r="L9" s="63" t="inlineStr">
        <is>
          <t>Used area</t>
        </is>
      </c>
      <c r="M9" t="inlineStr">
        <is>
          <t>Total Area (m2)</t>
        </is>
      </c>
    </row>
    <row r="10">
      <c r="M10" s="130">
        <f>TOTAL_AREA</f>
        <v/>
      </c>
    </row>
    <row r="11" ht="27.4" customHeight="1" s="313" thickBot="1">
      <c r="A11" s="132" t="inlineStr">
        <is>
          <t>Greens</t>
        </is>
      </c>
      <c r="B11" s="132" t="n"/>
      <c r="J11" s="37" t="inlineStr">
        <is>
          <t>CHOICE in Kg</t>
        </is>
      </c>
      <c r="M11" t="inlineStr">
        <is>
          <t>Production Area (m2)</t>
        </is>
      </c>
      <c r="N11" t="inlineStr">
        <is>
          <t>Area Hydroponic (m²)</t>
        </is>
      </c>
      <c r="P11" s="32" t="inlineStr">
        <is>
          <t>Yearly Gross Production (kg)</t>
        </is>
      </c>
    </row>
    <row r="12" ht="14.65" customHeight="1" s="313" thickTop="1">
      <c r="A12" t="inlineStr">
        <is>
          <t>Tomato</t>
        </is>
      </c>
      <c r="B12" s="106" t="n"/>
      <c r="C12" s="310" t="n">
        <v>365</v>
      </c>
      <c r="D12" s="310" t="n">
        <v>3.9</v>
      </c>
      <c r="E12" s="310" t="n">
        <v>10</v>
      </c>
      <c r="F12" s="130">
        <f>365/C12</f>
        <v/>
      </c>
      <c r="G12" s="130">
        <f>E12*D12</f>
        <v/>
      </c>
      <c r="H12" s="130">
        <f>F12*E12*D12</f>
        <v/>
      </c>
      <c r="I12" s="130">
        <f>VLOOKUP(A12,$A$37:$C$51,3,0)</f>
        <v/>
      </c>
      <c r="J12" s="268" t="n">
        <v>0</v>
      </c>
      <c r="M12" s="130">
        <f>M10*(1-E7)</f>
        <v/>
      </c>
      <c r="N12" s="130">
        <f>M12-N14</f>
        <v/>
      </c>
      <c r="O12" s="138">
        <f>N12/M12</f>
        <v/>
      </c>
      <c r="P12" s="142">
        <f>N12*H12</f>
        <v/>
      </c>
    </row>
    <row r="13">
      <c r="A13" t="inlineStr">
        <is>
          <t>Lettuce</t>
        </is>
      </c>
      <c r="B13" s="106" t="inlineStr">
        <is>
          <t>Lactuca sativa</t>
        </is>
      </c>
      <c r="C13" s="310" t="n">
        <v>35</v>
      </c>
      <c r="D13" s="310" t="n">
        <v>25</v>
      </c>
      <c r="E13" s="208" t="n">
        <v>0.2</v>
      </c>
      <c r="F13" s="130">
        <f>365/C13</f>
        <v/>
      </c>
      <c r="G13" s="130">
        <f>E13*D13</f>
        <v/>
      </c>
      <c r="H13" s="130">
        <f>F13*E13*D13</f>
        <v/>
      </c>
      <c r="I13" s="130">
        <f>VLOOKUP(A13,$A$37:$C$51,3,0)</f>
        <v/>
      </c>
      <c r="J13" s="268" t="n">
        <v>0</v>
      </c>
      <c r="N13" t="inlineStr">
        <is>
          <t>Area RAS (m²)</t>
        </is>
      </c>
    </row>
    <row r="14">
      <c r="A14" t="inlineStr">
        <is>
          <t>Chicória</t>
        </is>
      </c>
      <c r="B14" s="106" t="inlineStr">
        <is>
          <t>Cichorium intybus</t>
        </is>
      </c>
      <c r="C14" s="310" t="n">
        <v>28</v>
      </c>
      <c r="D14" s="310" t="n">
        <v>16</v>
      </c>
      <c r="E14" s="208" t="n">
        <v>0.13232</v>
      </c>
      <c r="F14" s="130">
        <f>365/C14</f>
        <v/>
      </c>
      <c r="G14" s="130">
        <f>E14*D14</f>
        <v/>
      </c>
      <c r="H14" s="130">
        <f>F14*E14*D14</f>
        <v/>
      </c>
      <c r="I14" s="130">
        <f>VLOOKUP(A14,$A$37:$C$51,3,0)</f>
        <v/>
      </c>
      <c r="J14" s="268" t="n">
        <v>0</v>
      </c>
      <c r="N14" s="130">
        <f>M12/(1+E4*H25/H12)</f>
        <v/>
      </c>
      <c r="O14" s="138">
        <f>N14/M12</f>
        <v/>
      </c>
      <c r="P14" s="142">
        <f>N14*H25</f>
        <v/>
      </c>
    </row>
    <row r="15">
      <c r="A15" t="inlineStr">
        <is>
          <t>Almeirão Pão de Açúcar</t>
        </is>
      </c>
      <c r="B15" s="106" t="inlineStr">
        <is>
          <t>Cichorium intybus</t>
        </is>
      </c>
      <c r="C15" s="310" t="n">
        <v>28</v>
      </c>
      <c r="D15" s="310" t="n">
        <v>16</v>
      </c>
      <c r="E15" s="208" t="n">
        <v>0.09816</v>
      </c>
      <c r="F15" s="130">
        <f>365/C15</f>
        <v/>
      </c>
      <c r="G15" s="130">
        <f>E15*D15</f>
        <v/>
      </c>
      <c r="H15" s="130">
        <f>F15*E15*D15</f>
        <v/>
      </c>
      <c r="I15" s="130">
        <f>VLOOKUP(A15,$A$37:$C$51,3,0)</f>
        <v/>
      </c>
      <c r="J15" s="268" t="n">
        <v>0</v>
      </c>
      <c r="N15" t="inlineStr">
        <is>
          <t>Volume RAS (m³)</t>
        </is>
      </c>
    </row>
    <row r="16">
      <c r="A16" t="inlineStr">
        <is>
          <t>Almeirão Amargo</t>
        </is>
      </c>
      <c r="B16" s="106" t="inlineStr">
        <is>
          <t>Cichorium intybus</t>
        </is>
      </c>
      <c r="C16" s="310" t="n">
        <v>28</v>
      </c>
      <c r="D16" s="310" t="n">
        <v>16</v>
      </c>
      <c r="E16" s="208" t="n">
        <v>0.11576</v>
      </c>
      <c r="F16" s="130">
        <f>365/C16</f>
        <v/>
      </c>
      <c r="G16" s="130">
        <f>E16*D16</f>
        <v/>
      </c>
      <c r="H16" s="130">
        <f>F16*E16*D16</f>
        <v/>
      </c>
      <c r="I16" s="130">
        <f>VLOOKUP(A16,$A$37:$C$51,3,0)</f>
        <v/>
      </c>
      <c r="J16" s="268" t="n">
        <v>0</v>
      </c>
      <c r="N16" s="130">
        <f>N14/E6</f>
        <v/>
      </c>
      <c r="O16" s="130">
        <f>ROUND(N14/E5,0)</f>
        <v/>
      </c>
      <c r="P16" t="inlineStr">
        <is>
          <t>RAS Tanks</t>
        </is>
      </c>
    </row>
    <row r="17">
      <c r="A17" t="inlineStr">
        <is>
          <t>Espinafre</t>
        </is>
      </c>
      <c r="B17" s="106" t="inlineStr">
        <is>
          <t>Spinacia oleracea</t>
        </is>
      </c>
      <c r="C17" s="310" t="n">
        <v>28</v>
      </c>
      <c r="D17" s="310" t="n">
        <v>16</v>
      </c>
      <c r="E17" s="208" t="n">
        <v>0.07872</v>
      </c>
      <c r="F17" s="130">
        <f>365/C17</f>
        <v/>
      </c>
      <c r="G17" s="130">
        <f>E17*D17</f>
        <v/>
      </c>
      <c r="H17" s="130">
        <f>F17*E17*D17</f>
        <v/>
      </c>
      <c r="I17" s="130">
        <f>VLOOKUP(A17,$A$37:$C$51,3,0)</f>
        <v/>
      </c>
      <c r="J17" s="268" t="n">
        <v>0</v>
      </c>
    </row>
    <row r="18">
      <c r="A18" t="inlineStr">
        <is>
          <t>Alface</t>
        </is>
      </c>
      <c r="B18" s="106" t="inlineStr">
        <is>
          <t>Lactuca sativa</t>
        </is>
      </c>
      <c r="C18" s="310" t="n">
        <v>28</v>
      </c>
      <c r="D18" s="310" t="n">
        <v>16</v>
      </c>
      <c r="E18" s="208" t="n">
        <v>0.07872</v>
      </c>
      <c r="F18" s="130">
        <f>365/C18</f>
        <v/>
      </c>
      <c r="G18" s="130">
        <f>E18*D18</f>
        <v/>
      </c>
      <c r="H18" s="130">
        <f>F18*E18*D18</f>
        <v/>
      </c>
      <c r="I18" s="130">
        <f>VLOOKUP(A18,$A$37:$C$51,3,0)</f>
        <v/>
      </c>
      <c r="J18" s="268" t="n">
        <v>0</v>
      </c>
    </row>
    <row r="19">
      <c r="A19" t="inlineStr">
        <is>
          <t>Salsinha</t>
        </is>
      </c>
      <c r="B19" s="106" t="inlineStr">
        <is>
          <t>Petroselinum crispum</t>
        </is>
      </c>
      <c r="C19" s="310" t="n">
        <v>28</v>
      </c>
      <c r="D19" s="310" t="n">
        <v>16</v>
      </c>
      <c r="E19" s="208" t="n">
        <v>0.03587</v>
      </c>
      <c r="F19" s="130">
        <f>365/C19</f>
        <v/>
      </c>
      <c r="G19" s="130">
        <f>E19*D19</f>
        <v/>
      </c>
      <c r="H19" s="130">
        <f>F19*E19*D19</f>
        <v/>
      </c>
      <c r="I19" s="130">
        <f>VLOOKUP(A19,$A$37:$C$51,3,0)</f>
        <v/>
      </c>
      <c r="J19" s="268" t="n">
        <v>0</v>
      </c>
    </row>
    <row r="20">
      <c r="A20" t="inlineStr">
        <is>
          <t>Manjericão</t>
        </is>
      </c>
      <c r="B20" s="106" t="inlineStr">
        <is>
          <t>Ocimum basilicum</t>
        </is>
      </c>
      <c r="C20" s="310" t="n">
        <v>28</v>
      </c>
      <c r="D20" s="310" t="n">
        <v>16</v>
      </c>
      <c r="E20" s="208" t="n">
        <v>0.04206</v>
      </c>
      <c r="F20" s="130">
        <f>365/C20</f>
        <v/>
      </c>
      <c r="G20" s="130">
        <f>E20*D20</f>
        <v/>
      </c>
      <c r="H20" s="130">
        <f>F20*E20*D20</f>
        <v/>
      </c>
      <c r="I20" s="130">
        <f>VLOOKUP(A20,$A$37:$C$51,3,0)</f>
        <v/>
      </c>
      <c r="J20" s="268" t="n">
        <v>351.2536489341177</v>
      </c>
    </row>
    <row r="21">
      <c r="A21" t="inlineStr">
        <is>
          <t>Agrião</t>
        </is>
      </c>
      <c r="B21" s="106" t="inlineStr">
        <is>
          <t>Nasturtium officinale</t>
        </is>
      </c>
      <c r="C21" s="310" t="n">
        <v>28</v>
      </c>
      <c r="D21" s="310" t="n">
        <v>16</v>
      </c>
      <c r="E21" s="208" t="n">
        <v>0.07368999999999999</v>
      </c>
      <c r="F21" s="130">
        <f>365/C21</f>
        <v/>
      </c>
      <c r="G21" s="130">
        <f>E21*D21</f>
        <v/>
      </c>
      <c r="H21" s="130">
        <f>F21*E21*D21</f>
        <v/>
      </c>
      <c r="I21" s="130">
        <f>VLOOKUP(A21,$A$37:$C$51,3,0)</f>
        <v/>
      </c>
      <c r="J21" s="268" t="n">
        <v>0</v>
      </c>
    </row>
    <row r="22">
      <c r="A22" t="inlineStr">
        <is>
          <t>Cebolinha</t>
        </is>
      </c>
      <c r="B22" s="106" t="inlineStr">
        <is>
          <t>Allium schoenoprasum</t>
        </is>
      </c>
      <c r="C22" s="310" t="n">
        <v>28</v>
      </c>
      <c r="D22" s="310" t="n">
        <v>16</v>
      </c>
      <c r="E22" s="208" t="n">
        <v>0.02525</v>
      </c>
      <c r="F22" s="130">
        <f>365/C22</f>
        <v/>
      </c>
      <c r="G22" s="130">
        <f>E22*D22</f>
        <v/>
      </c>
      <c r="H22" s="130">
        <f>F22*E22*D22</f>
        <v/>
      </c>
      <c r="I22" s="130">
        <f>VLOOKUP(A22,$A$37:$C$51,3,0)</f>
        <v/>
      </c>
      <c r="J22" s="268" t="n">
        <v>0</v>
      </c>
    </row>
    <row r="24">
      <c r="A24" s="106" t="inlineStr">
        <is>
          <t>Chosen Aquatic</t>
        </is>
      </c>
      <c r="B24" s="106" t="n"/>
    </row>
    <row r="25">
      <c r="A25" s="130">
        <f>CHOSEN_FISH</f>
        <v/>
      </c>
      <c r="B25" s="130" t="n"/>
      <c r="C25" s="130">
        <f>VLOOKUP($A25,$A$30:$E$33,COLUMN(),0)</f>
        <v/>
      </c>
      <c r="D25" s="130">
        <f>VLOOKUP($A25,$A$30:$E$33,COLUMN(),0)</f>
        <v/>
      </c>
      <c r="E25" s="130">
        <f>VLOOKUP($A25,$A$30:$E$33,COLUMN(),0)</f>
        <v/>
      </c>
      <c r="F25" s="130">
        <f>365/C25</f>
        <v/>
      </c>
      <c r="G25" s="130">
        <f>E25*D25</f>
        <v/>
      </c>
      <c r="H25" s="130">
        <f>F25*E25*D25</f>
        <v/>
      </c>
    </row>
    <row r="26">
      <c r="E26" s="328" t="n"/>
    </row>
    <row r="27">
      <c r="A27" s="233" t="n"/>
      <c r="B27" s="233" t="n"/>
      <c r="C27" s="141" t="n"/>
      <c r="D27" s="107" t="n"/>
    </row>
    <row r="28">
      <c r="C28" s="310" t="n"/>
      <c r="D28" s="310" t="n"/>
      <c r="E28" s="310" t="n"/>
    </row>
    <row r="29" ht="14.65" customHeight="1" s="313" thickBot="1">
      <c r="A29" s="132" t="inlineStr">
        <is>
          <t>Aquatic</t>
        </is>
      </c>
      <c r="B29" s="132" t="n"/>
      <c r="C29" s="134" t="n"/>
      <c r="D29" s="134" t="n"/>
      <c r="E29" s="134" t="n"/>
    </row>
    <row r="30" ht="14.65" customHeight="1" s="313" thickTop="1">
      <c r="A30" t="inlineStr">
        <is>
          <t>Tilapia</t>
        </is>
      </c>
      <c r="C30" s="122" t="n">
        <v>180</v>
      </c>
      <c r="D30" s="310" t="n">
        <v>100</v>
      </c>
      <c r="E30" s="310" t="n">
        <v>0.6</v>
      </c>
    </row>
    <row r="31">
      <c r="A31" t="inlineStr">
        <is>
          <t>Trout</t>
        </is>
      </c>
      <c r="C31" s="122" t="n">
        <v>365</v>
      </c>
      <c r="D31" s="122" t="n">
        <v>22</v>
      </c>
      <c r="E31" s="329" t="n">
        <v>0.5</v>
      </c>
    </row>
    <row r="32">
      <c r="C32" s="5" t="n"/>
      <c r="D32" s="5" t="n"/>
      <c r="E32" s="5" t="n"/>
    </row>
    <row r="33" ht="14.65" customHeight="1" s="313" thickBot="1">
      <c r="A33" s="132" t="inlineStr">
        <is>
          <t>Microorganisms</t>
        </is>
      </c>
      <c r="B33" s="132" t="n"/>
      <c r="C33" s="134" t="n"/>
      <c r="D33" s="134" t="n"/>
      <c r="E33" s="134" t="n"/>
    </row>
    <row r="34" ht="14.65" customHeight="1" s="313" thickTop="1">
      <c r="A34" t="inlineStr">
        <is>
          <t>Bacteria, etc.</t>
        </is>
      </c>
      <c r="C34" s="122" t="n"/>
      <c r="D34" s="310" t="n"/>
      <c r="E34" s="310" t="n"/>
    </row>
    <row r="35">
      <c r="C35" s="122" t="n"/>
      <c r="D35" s="310" t="n"/>
      <c r="E35" s="310" t="n"/>
      <c r="F35" s="310" t="n"/>
    </row>
    <row r="36" ht="14.65" customHeight="1" s="313" thickBot="1">
      <c r="A36" s="132" t="inlineStr">
        <is>
          <t>Greens</t>
        </is>
      </c>
      <c r="B36" s="146" t="n"/>
      <c r="C36" s="146" t="inlineStr">
        <is>
          <t>Price ($/kg)</t>
        </is>
      </c>
    </row>
    <row r="37" ht="14.65" customHeight="1" s="313" thickTop="1">
      <c r="A37" t="inlineStr">
        <is>
          <t>Tomato</t>
        </is>
      </c>
      <c r="B37" s="330" t="n"/>
      <c r="C37" s="330" t="n">
        <v>3</v>
      </c>
    </row>
    <row r="38">
      <c r="A38" t="inlineStr">
        <is>
          <t>Lettuce</t>
        </is>
      </c>
      <c r="B38" s="106" t="inlineStr">
        <is>
          <t>Lactuca sativa</t>
        </is>
      </c>
      <c r="C38" s="330" t="n">
        <v>5</v>
      </c>
    </row>
    <row r="39">
      <c r="A39" t="inlineStr">
        <is>
          <t>Chicória</t>
        </is>
      </c>
      <c r="B39" s="106" t="inlineStr">
        <is>
          <t>Cichorium intybus</t>
        </is>
      </c>
      <c r="C39" s="330" t="n">
        <v>10</v>
      </c>
    </row>
    <row r="40">
      <c r="A40" t="inlineStr">
        <is>
          <t>Almeirão Pão de Açúcar</t>
        </is>
      </c>
      <c r="B40" s="106" t="inlineStr">
        <is>
          <t>Cichorium intybus</t>
        </is>
      </c>
      <c r="C40" s="330" t="n">
        <v>10</v>
      </c>
    </row>
    <row r="41">
      <c r="A41" t="inlineStr">
        <is>
          <t>Almeirão Amargo</t>
        </is>
      </c>
      <c r="B41" s="106" t="inlineStr">
        <is>
          <t>Cichorium intybus</t>
        </is>
      </c>
      <c r="C41" s="330" t="n">
        <v>10</v>
      </c>
    </row>
    <row r="42">
      <c r="A42" t="inlineStr">
        <is>
          <t>Espinafre</t>
        </is>
      </c>
      <c r="B42" s="106" t="inlineStr">
        <is>
          <t>Spinacia oleracea</t>
        </is>
      </c>
      <c r="C42" s="330" t="n">
        <v>15</v>
      </c>
    </row>
    <row r="43">
      <c r="A43" t="inlineStr">
        <is>
          <t>Alface</t>
        </is>
      </c>
      <c r="B43" s="106" t="inlineStr">
        <is>
          <t>Lactuca sativa</t>
        </is>
      </c>
      <c r="C43" s="330" t="n">
        <v>5</v>
      </c>
    </row>
    <row r="44">
      <c r="A44" t="inlineStr">
        <is>
          <t>Salsinha</t>
        </is>
      </c>
      <c r="B44" s="106" t="inlineStr">
        <is>
          <t>Petroselinum crispum</t>
        </is>
      </c>
      <c r="C44" s="330" t="n">
        <v>15</v>
      </c>
    </row>
    <row r="45">
      <c r="A45" t="inlineStr">
        <is>
          <t>Manjericão</t>
        </is>
      </c>
      <c r="B45" s="106" t="inlineStr">
        <is>
          <t>Ocimum basilicum</t>
        </is>
      </c>
      <c r="C45" s="330" t="n">
        <v>30</v>
      </c>
    </row>
    <row r="46">
      <c r="A46" t="inlineStr">
        <is>
          <t>Agrião</t>
        </is>
      </c>
      <c r="B46" s="106" t="inlineStr">
        <is>
          <t>Nasturtium officinale</t>
        </is>
      </c>
      <c r="C46" s="331" t="n">
        <v>15</v>
      </c>
    </row>
    <row r="47">
      <c r="A47" t="inlineStr">
        <is>
          <t>Cebolinha</t>
        </is>
      </c>
      <c r="B47" s="106" t="inlineStr">
        <is>
          <t>Allium schoenoprasum</t>
        </is>
      </c>
      <c r="C47" s="331" t="n">
        <v>12</v>
      </c>
    </row>
    <row r="48">
      <c r="B48" s="106" t="n"/>
      <c r="C48" s="331" t="n"/>
    </row>
    <row r="49" ht="14.65" customHeight="1" s="313" thickBot="1">
      <c r="A49" s="132" t="inlineStr">
        <is>
          <t>Aquatic</t>
        </is>
      </c>
      <c r="B49" s="332" t="n"/>
      <c r="C49" s="146" t="inlineStr">
        <is>
          <t>Price ($/kg)</t>
        </is>
      </c>
    </row>
    <row r="50" ht="14.65" customHeight="1" s="313" thickTop="1">
      <c r="A50" t="inlineStr">
        <is>
          <t>Tilapia</t>
        </is>
      </c>
      <c r="B50" s="331" t="n"/>
      <c r="C50" s="331" t="n">
        <v>17</v>
      </c>
    </row>
    <row r="51">
      <c r="A51" t="inlineStr">
        <is>
          <t>Trout</t>
        </is>
      </c>
      <c r="B51" s="331" t="n"/>
      <c r="C51" s="331" t="n">
        <v>34</v>
      </c>
    </row>
  </sheetData>
  <mergeCells count="9">
    <mergeCell ref="A4:B4"/>
    <mergeCell ref="H9:H11"/>
    <mergeCell ref="F9:F11"/>
    <mergeCell ref="G9:G11"/>
    <mergeCell ref="D9:D11"/>
    <mergeCell ref="L9:L11"/>
    <mergeCell ref="I9:I11"/>
    <mergeCell ref="C9:C11"/>
    <mergeCell ref="E9:E1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4.25"/>
  <sheetData>
    <row r="1" ht="15.75" customHeight="1" s="313">
      <c r="A1" s="325" t="inlineStr">
        <is>
          <t>Location</t>
        </is>
      </c>
      <c r="B1" s="221" t="inlineStr">
        <is>
          <t>Votuporanga</t>
        </is>
      </c>
      <c r="C1" s="221" t="n"/>
      <c r="D1" s="221" t="n"/>
      <c r="E1" s="221" t="n"/>
      <c r="F1" s="221" t="n"/>
      <c r="G1" s="221" t="n"/>
    </row>
    <row r="2" ht="15.75" customHeight="1" s="313">
      <c r="A2" s="221" t="inlineStr">
        <is>
          <t>Coordinates</t>
        </is>
      </c>
      <c r="B2" s="221" t="inlineStr">
        <is>
          <t>São Paulo, Brazil · -20.423°, -49.973°</t>
        </is>
      </c>
      <c r="C2" s="221" t="n"/>
      <c r="D2" s="221" t="n"/>
      <c r="E2" s="221" t="n"/>
      <c r="F2" s="221" t="n"/>
      <c r="G2" s="221" t="n"/>
    </row>
    <row r="3" ht="15.75" customHeight="1" s="313">
      <c r="A3" s="221" t="inlineStr">
        <is>
          <t>Data range: 2023-06 → 2026-06</t>
        </is>
      </c>
      <c r="B3" s="221" t="n"/>
      <c r="C3" s="221" t="n"/>
      <c r="D3" s="221" t="n"/>
      <c r="E3" s="221" t="n"/>
      <c r="F3" s="221" t="n"/>
      <c r="G3" s="221" t="n"/>
    </row>
    <row r="4" ht="15.75" customHeight="1" s="313">
      <c r="A4" s="221" t="inlineStr">
        <is>
          <t>Source</t>
        </is>
      </c>
      <c r="B4" s="221" t="inlineStr">
        <is>
          <t>Open-Meteo ERA5 Historical Weather API</t>
        </is>
      </c>
      <c r="C4" s="221" t="n"/>
      <c r="D4" s="221" t="n"/>
      <c r="E4" s="221" t="n"/>
      <c r="F4" s="221" t="n"/>
      <c r="G4" s="221" t="n"/>
    </row>
    <row r="5" ht="15.75" customHeight="1" s="313">
      <c r="A5" s="221" t="n"/>
      <c r="B5" s="221" t="n"/>
      <c r="C5" s="221" t="n"/>
      <c r="D5" s="221" t="n"/>
      <c r="E5" s="221" t="n"/>
      <c r="F5" s="221" t="n"/>
      <c r="G5" s="221" t="n"/>
    </row>
    <row r="6" ht="15.75" customHeight="1" s="313">
      <c r="A6" s="221" t="inlineStr">
        <is>
          <t>Month</t>
        </is>
      </c>
      <c r="B6" s="221" t="inlineStr">
        <is>
          <t>Avg High (°C)</t>
        </is>
      </c>
      <c r="C6" s="221" t="inlineStr">
        <is>
          <t>Avg Mean (°C)</t>
        </is>
      </c>
      <c r="D6" s="221" t="inlineStr">
        <is>
          <t>Avg Low (°C)</t>
        </is>
      </c>
      <c r="E6" s="221" t="inlineStr">
        <is>
          <t>Precipitation (mm)</t>
        </is>
      </c>
      <c r="F6" s="221" t="inlineStr">
        <is>
          <t>ET₀ (mm)</t>
        </is>
      </c>
      <c r="G6" s="221" t="inlineStr">
        <is>
          <t>Water Deficit (mm)</t>
        </is>
      </c>
    </row>
    <row r="7" ht="15.75" customHeight="1" s="313">
      <c r="A7" s="221" t="inlineStr">
        <is>
          <t>Jan</t>
        </is>
      </c>
      <c r="B7" s="221" t="n">
        <v>31.6</v>
      </c>
      <c r="C7" s="221" t="n">
        <v>26.6</v>
      </c>
      <c r="D7" s="221" t="n">
        <v>21.7</v>
      </c>
      <c r="E7" s="221" t="n">
        <v>122</v>
      </c>
      <c r="F7" s="221" t="n">
        <v>160</v>
      </c>
      <c r="G7" s="221" t="n">
        <v>38.3</v>
      </c>
    </row>
    <row r="8" ht="15.75" customHeight="1" s="313">
      <c r="A8" s="221" t="inlineStr">
        <is>
          <t>Feb</t>
        </is>
      </c>
      <c r="B8" s="221" t="n">
        <v>30.6</v>
      </c>
      <c r="C8" s="221" t="n">
        <v>26.3</v>
      </c>
      <c r="D8" s="221" t="n">
        <v>21.9</v>
      </c>
      <c r="E8" s="221" t="n">
        <v>139</v>
      </c>
      <c r="F8" s="221" t="n">
        <v>149</v>
      </c>
      <c r="G8" s="221" t="n">
        <v>10</v>
      </c>
    </row>
    <row r="9" ht="15.75" customHeight="1" s="313">
      <c r="A9" s="221" t="inlineStr">
        <is>
          <t>Mar</t>
        </is>
      </c>
      <c r="B9" s="221" t="n">
        <v>31.5</v>
      </c>
      <c r="C9" s="221" t="n">
        <v>26.8</v>
      </c>
      <c r="D9" s="221" t="n">
        <v>22</v>
      </c>
      <c r="E9" s="221" t="n">
        <v>117</v>
      </c>
      <c r="F9" s="221" t="n">
        <v>151</v>
      </c>
      <c r="G9" s="221" t="n">
        <v>34</v>
      </c>
    </row>
    <row r="10" ht="15.75" customHeight="1" s="313">
      <c r="A10" s="221" t="inlineStr">
        <is>
          <t>Apr</t>
        </is>
      </c>
      <c r="B10" s="221" t="n">
        <v>30.7</v>
      </c>
      <c r="C10" s="221" t="n">
        <v>25.7</v>
      </c>
      <c r="D10" s="221" t="n">
        <v>20.7</v>
      </c>
      <c r="E10" s="221" t="n">
        <v>71</v>
      </c>
      <c r="F10" s="221" t="n">
        <v>126</v>
      </c>
      <c r="G10" s="221" t="n">
        <v>54.5</v>
      </c>
    </row>
    <row r="11" ht="15.75" customHeight="1" s="313">
      <c r="A11" s="221" t="inlineStr">
        <is>
          <t>May</t>
        </is>
      </c>
      <c r="B11" s="221" t="n">
        <v>28.9</v>
      </c>
      <c r="C11" s="221" t="n">
        <v>23.3</v>
      </c>
      <c r="D11" s="221" t="n">
        <v>17.8</v>
      </c>
      <c r="E11" s="221" t="n">
        <v>14</v>
      </c>
      <c r="F11" s="221" t="n">
        <v>121</v>
      </c>
      <c r="G11" s="221" t="n">
        <v>106.5</v>
      </c>
    </row>
    <row r="12" ht="15.75" customHeight="1" s="313">
      <c r="A12" s="221" t="inlineStr">
        <is>
          <t>Jun</t>
        </is>
      </c>
      <c r="B12" s="221" t="n">
        <v>26.9</v>
      </c>
      <c r="C12" s="221" t="n">
        <v>21.4</v>
      </c>
      <c r="D12" s="221" t="n">
        <v>15.9</v>
      </c>
      <c r="E12" s="221" t="n">
        <v>63</v>
      </c>
      <c r="F12" s="221" t="n">
        <v>113</v>
      </c>
      <c r="G12" s="221" t="n">
        <v>49.3</v>
      </c>
    </row>
    <row r="13" ht="15.75" customHeight="1" s="313">
      <c r="A13" s="221" t="inlineStr">
        <is>
          <t>Jul</t>
        </is>
      </c>
      <c r="B13" s="221" t="n">
        <v>29</v>
      </c>
      <c r="C13" s="221" t="n">
        <v>22.5</v>
      </c>
      <c r="D13" s="221" t="n">
        <v>16.1</v>
      </c>
      <c r="E13" s="221" t="n">
        <v>4</v>
      </c>
      <c r="F13" s="221" t="n">
        <v>127</v>
      </c>
      <c r="G13" s="221" t="n">
        <v>123.5</v>
      </c>
    </row>
    <row r="14" ht="15.75" customHeight="1" s="313">
      <c r="A14" s="221" t="inlineStr">
        <is>
          <t>Aug</t>
        </is>
      </c>
      <c r="B14" s="221" t="n">
        <v>30.9</v>
      </c>
      <c r="C14" s="221" t="n">
        <v>24.2</v>
      </c>
      <c r="D14" s="221" t="n">
        <v>17.4</v>
      </c>
      <c r="E14" s="221" t="n">
        <v>11</v>
      </c>
      <c r="F14" s="221" t="n">
        <v>161</v>
      </c>
      <c r="G14" s="221" t="n">
        <v>149.9</v>
      </c>
    </row>
    <row r="15" ht="15.75" customHeight="1" s="313">
      <c r="A15" s="221" t="inlineStr">
        <is>
          <t>Sep</t>
        </is>
      </c>
      <c r="B15" s="221" t="n">
        <v>34.9</v>
      </c>
      <c r="C15" s="221" t="n">
        <v>28.2</v>
      </c>
      <c r="D15" s="221" t="n">
        <v>21.5</v>
      </c>
      <c r="E15" s="221" t="n">
        <v>42</v>
      </c>
      <c r="F15" s="221" t="n">
        <v>190</v>
      </c>
      <c r="G15" s="221" t="n">
        <v>147.7</v>
      </c>
    </row>
    <row r="16" ht="15.75" customHeight="1" s="313">
      <c r="A16" s="221" t="inlineStr">
        <is>
          <t>Oct</t>
        </is>
      </c>
      <c r="B16" s="221" t="n">
        <v>33.2</v>
      </c>
      <c r="C16" s="221" t="n">
        <v>27.6</v>
      </c>
      <c r="D16" s="221" t="n">
        <v>22</v>
      </c>
      <c r="E16" s="221" t="n">
        <v>107</v>
      </c>
      <c r="F16" s="221" t="n">
        <v>180</v>
      </c>
      <c r="G16" s="221" t="n">
        <v>72.2</v>
      </c>
    </row>
    <row r="17" ht="15.75" customHeight="1" s="313">
      <c r="A17" s="221" t="inlineStr">
        <is>
          <t>Nov</t>
        </is>
      </c>
      <c r="B17" s="221" t="n">
        <v>32.8</v>
      </c>
      <c r="C17" s="221" t="n">
        <v>27.2</v>
      </c>
      <c r="D17" s="221" t="n">
        <v>21.5</v>
      </c>
      <c r="E17" s="221" t="n">
        <v>152</v>
      </c>
      <c r="F17" s="221" t="n">
        <v>179</v>
      </c>
      <c r="G17" s="221" t="n">
        <v>27.1</v>
      </c>
    </row>
    <row r="18" ht="15.75" customHeight="1" s="313">
      <c r="A18" s="221" t="inlineStr">
        <is>
          <t>Dec</t>
        </is>
      </c>
      <c r="B18" s="221" t="n">
        <v>31.9</v>
      </c>
      <c r="C18" s="221" t="n">
        <v>27.2</v>
      </c>
      <c r="D18" s="221" t="n">
        <v>22.4</v>
      </c>
      <c r="E18" s="221" t="n">
        <v>170</v>
      </c>
      <c r="F18" s="221" t="n">
        <v>159</v>
      </c>
      <c r="G18" s="221" t="n">
        <v>-10.9</v>
      </c>
    </row>
    <row r="19" ht="15.75" customHeight="1" s="313">
      <c r="A19" s="221" t="inlineStr">
        <is>
          <t>Annual</t>
        </is>
      </c>
      <c r="B19" s="221" t="inlineStr">
        <is>
          <t>—</t>
        </is>
      </c>
      <c r="C19" s="221" t="n">
        <v>25.6</v>
      </c>
      <c r="D19" s="221" t="inlineStr">
        <is>
          <t>—</t>
        </is>
      </c>
      <c r="E19" s="221" t="n">
        <v>1013</v>
      </c>
      <c r="F19" s="221" t="n">
        <v>1815</v>
      </c>
      <c r="G19" s="221" t="n">
        <v>802.3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2" tint="-0.249977111117893"/>
    <outlinePr summaryBelow="1" summaryRight="1"/>
    <pageSetUpPr/>
  </sheetPr>
  <dimension ref="A1:G19"/>
  <sheetViews>
    <sheetView workbookViewId="0">
      <selection activeCell="G19" sqref="A1:G19"/>
    </sheetView>
  </sheetViews>
  <sheetFormatPr baseColWidth="8" defaultRowHeight="15.75"/>
  <cols>
    <col width="15.796875" customWidth="1" style="221" min="1" max="1"/>
    <col width="12.6640625" customWidth="1" style="221" min="2" max="2"/>
    <col width="12.6640625" bestFit="1" customWidth="1" style="221" min="3" max="3"/>
    <col width="11.3984375" bestFit="1" customWidth="1" style="221" min="4" max="4"/>
    <col width="16.6640625" bestFit="1" customWidth="1" style="221" min="5" max="5"/>
    <col width="8.53125" bestFit="1" customWidth="1" style="221" min="6" max="6"/>
    <col width="17.06640625" bestFit="1" customWidth="1" style="221" min="7" max="7"/>
    <col width="9.06640625" customWidth="1" style="221" min="8" max="16384"/>
  </cols>
  <sheetData>
    <row r="1">
      <c r="A1" s="221" t="inlineStr">
        <is>
          <t>Location</t>
        </is>
      </c>
      <c r="B1" s="221" t="inlineStr">
        <is>
          <t>Votuporanga</t>
        </is>
      </c>
    </row>
    <row r="2">
      <c r="A2" s="221" t="inlineStr">
        <is>
          <t>Coordinates</t>
        </is>
      </c>
      <c r="B2" s="221" t="inlineStr">
        <is>
          <t>São Paulo, Brazil · -20.423°, -49.973°</t>
        </is>
      </c>
    </row>
    <row r="3">
      <c r="A3" s="221" t="inlineStr">
        <is>
          <t>Data range: 2023-06 → 2026-06</t>
        </is>
      </c>
    </row>
    <row r="4">
      <c r="A4" s="221" t="inlineStr">
        <is>
          <t>Source</t>
        </is>
      </c>
      <c r="B4" s="221" t="inlineStr">
        <is>
          <t>Open-Meteo ERA5 Historical Weather API</t>
        </is>
      </c>
    </row>
    <row r="6">
      <c r="A6" s="221" t="inlineStr">
        <is>
          <t>Month</t>
        </is>
      </c>
      <c r="B6" s="221" t="inlineStr">
        <is>
          <t>Avg High (°C)</t>
        </is>
      </c>
      <c r="C6" s="221" t="inlineStr">
        <is>
          <t>Avg Mean (°C)</t>
        </is>
      </c>
      <c r="D6" s="221" t="inlineStr">
        <is>
          <t>Avg Low (°C)</t>
        </is>
      </c>
      <c r="E6" s="221" t="inlineStr">
        <is>
          <t>Precipitation (mm)</t>
        </is>
      </c>
      <c r="F6" s="221" t="inlineStr">
        <is>
          <t>ET₀ (mm)</t>
        </is>
      </c>
      <c r="G6" s="221" t="inlineStr">
        <is>
          <t>Water Deficit (mm)</t>
        </is>
      </c>
    </row>
    <row r="7">
      <c r="A7" s="221" t="inlineStr">
        <is>
          <t>Jan</t>
        </is>
      </c>
      <c r="B7" s="221" t="n">
        <v>31.6</v>
      </c>
      <c r="C7" s="221" t="n">
        <v>26.6</v>
      </c>
      <c r="D7" s="221" t="n">
        <v>21.7</v>
      </c>
      <c r="E7" s="221" t="n">
        <v>122</v>
      </c>
      <c r="F7" s="221" t="n">
        <v>160</v>
      </c>
      <c r="G7" s="221" t="n">
        <v>38.3</v>
      </c>
    </row>
    <row r="8">
      <c r="A8" s="221" t="inlineStr">
        <is>
          <t>Feb</t>
        </is>
      </c>
      <c r="B8" s="221" t="n">
        <v>30.6</v>
      </c>
      <c r="C8" s="221" t="n">
        <v>26.3</v>
      </c>
      <c r="D8" s="221" t="n">
        <v>21.9</v>
      </c>
      <c r="E8" s="221" t="n">
        <v>139</v>
      </c>
      <c r="F8" s="221" t="n">
        <v>149</v>
      </c>
      <c r="G8" s="221" t="n">
        <v>10</v>
      </c>
    </row>
    <row r="9">
      <c r="A9" s="221" t="inlineStr">
        <is>
          <t>Mar</t>
        </is>
      </c>
      <c r="B9" s="221" t="n">
        <v>31.5</v>
      </c>
      <c r="C9" s="221" t="n">
        <v>26.8</v>
      </c>
      <c r="D9" s="221" t="n">
        <v>22</v>
      </c>
      <c r="E9" s="221" t="n">
        <v>117</v>
      </c>
      <c r="F9" s="221" t="n">
        <v>151</v>
      </c>
      <c r="G9" s="221" t="n">
        <v>34</v>
      </c>
    </row>
    <row r="10">
      <c r="A10" s="221" t="inlineStr">
        <is>
          <t>Apr</t>
        </is>
      </c>
      <c r="B10" s="221" t="n">
        <v>30.7</v>
      </c>
      <c r="C10" s="221" t="n">
        <v>25.7</v>
      </c>
      <c r="D10" s="221" t="n">
        <v>20.7</v>
      </c>
      <c r="E10" s="221" t="n">
        <v>71</v>
      </c>
      <c r="F10" s="221" t="n">
        <v>126</v>
      </c>
      <c r="G10" s="221" t="n">
        <v>54.5</v>
      </c>
    </row>
    <row r="11">
      <c r="A11" s="221" t="inlineStr">
        <is>
          <t>May</t>
        </is>
      </c>
      <c r="B11" s="221" t="n">
        <v>28.9</v>
      </c>
      <c r="C11" s="221" t="n">
        <v>23.3</v>
      </c>
      <c r="D11" s="221" t="n">
        <v>17.8</v>
      </c>
      <c r="E11" s="221" t="n">
        <v>14</v>
      </c>
      <c r="F11" s="221" t="n">
        <v>121</v>
      </c>
      <c r="G11" s="221" t="n">
        <v>106.5</v>
      </c>
    </row>
    <row r="12">
      <c r="A12" s="221" t="inlineStr">
        <is>
          <t>Jun</t>
        </is>
      </c>
      <c r="B12" s="221" t="n">
        <v>26.9</v>
      </c>
      <c r="C12" s="221" t="n">
        <v>21.4</v>
      </c>
      <c r="D12" s="221" t="n">
        <v>15.9</v>
      </c>
      <c r="E12" s="221" t="n">
        <v>63</v>
      </c>
      <c r="F12" s="221" t="n">
        <v>113</v>
      </c>
      <c r="G12" s="221" t="n">
        <v>49.3</v>
      </c>
    </row>
    <row r="13">
      <c r="A13" s="221" t="inlineStr">
        <is>
          <t>Jul</t>
        </is>
      </c>
      <c r="B13" s="221" t="n">
        <v>29</v>
      </c>
      <c r="C13" s="221" t="n">
        <v>22.5</v>
      </c>
      <c r="D13" s="221" t="n">
        <v>16.1</v>
      </c>
      <c r="E13" s="221" t="n">
        <v>4</v>
      </c>
      <c r="F13" s="221" t="n">
        <v>127</v>
      </c>
      <c r="G13" s="221" t="n">
        <v>123.5</v>
      </c>
    </row>
    <row r="14">
      <c r="A14" s="221" t="inlineStr">
        <is>
          <t>Aug</t>
        </is>
      </c>
      <c r="B14" s="221" t="n">
        <v>30.9</v>
      </c>
      <c r="C14" s="221" t="n">
        <v>24.2</v>
      </c>
      <c r="D14" s="221" t="n">
        <v>17.4</v>
      </c>
      <c r="E14" s="221" t="n">
        <v>11</v>
      </c>
      <c r="F14" s="221" t="n">
        <v>161</v>
      </c>
      <c r="G14" s="221" t="n">
        <v>149.9</v>
      </c>
    </row>
    <row r="15">
      <c r="A15" s="221" t="inlineStr">
        <is>
          <t>Sep</t>
        </is>
      </c>
      <c r="B15" s="221" t="n">
        <v>34.9</v>
      </c>
      <c r="C15" s="221" t="n">
        <v>28.2</v>
      </c>
      <c r="D15" s="221" t="n">
        <v>21.5</v>
      </c>
      <c r="E15" s="221" t="n">
        <v>42</v>
      </c>
      <c r="F15" s="221" t="n">
        <v>190</v>
      </c>
      <c r="G15" s="221" t="n">
        <v>147.7</v>
      </c>
    </row>
    <row r="16">
      <c r="A16" s="221" t="inlineStr">
        <is>
          <t>Oct</t>
        </is>
      </c>
      <c r="B16" s="221" t="n">
        <v>33.2</v>
      </c>
      <c r="C16" s="221" t="n">
        <v>27.6</v>
      </c>
      <c r="D16" s="221" t="n">
        <v>22</v>
      </c>
      <c r="E16" s="221" t="n">
        <v>107</v>
      </c>
      <c r="F16" s="221" t="n">
        <v>180</v>
      </c>
      <c r="G16" s="221" t="n">
        <v>72.2</v>
      </c>
    </row>
    <row r="17">
      <c r="A17" s="221" t="inlineStr">
        <is>
          <t>Nov</t>
        </is>
      </c>
      <c r="B17" s="221" t="n">
        <v>32.8</v>
      </c>
      <c r="C17" s="221" t="n">
        <v>27.2</v>
      </c>
      <c r="D17" s="221" t="n">
        <v>21.5</v>
      </c>
      <c r="E17" s="221" t="n">
        <v>152</v>
      </c>
      <c r="F17" s="221" t="n">
        <v>179</v>
      </c>
      <c r="G17" s="221" t="n">
        <v>27.1</v>
      </c>
    </row>
    <row r="18">
      <c r="A18" s="221" t="inlineStr">
        <is>
          <t>Dec</t>
        </is>
      </c>
      <c r="B18" s="221" t="n">
        <v>31.9</v>
      </c>
      <c r="C18" s="221" t="n">
        <v>27.2</v>
      </c>
      <c r="D18" s="221" t="n">
        <v>22.4</v>
      </c>
      <c r="E18" s="221" t="n">
        <v>170</v>
      </c>
      <c r="F18" s="221" t="n">
        <v>159</v>
      </c>
      <c r="G18" s="221" t="n">
        <v>-10.9</v>
      </c>
    </row>
    <row r="19">
      <c r="A19" s="221" t="inlineStr">
        <is>
          <t>Annual</t>
        </is>
      </c>
      <c r="B19" s="221" t="inlineStr">
        <is>
          <t>—</t>
        </is>
      </c>
      <c r="C19" s="221" t="n">
        <v>25.6</v>
      </c>
      <c r="D19" s="221" t="inlineStr">
        <is>
          <t>—</t>
        </is>
      </c>
      <c r="E19" s="221" t="n">
        <v>1013</v>
      </c>
      <c r="F19" s="221" t="n">
        <v>1815</v>
      </c>
      <c r="G19" s="221" t="n">
        <v>802.3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1"/>
    <outlinePr summaryBelow="1" summaryRight="1"/>
    <pageSetUpPr/>
  </sheetPr>
  <dimension ref="A1:AF49"/>
  <sheetViews>
    <sheetView showGridLines="0" zoomScale="55" zoomScaleNormal="55" workbookViewId="0">
      <selection activeCell="P28" sqref="A24:P28"/>
    </sheetView>
  </sheetViews>
  <sheetFormatPr baseColWidth="8" defaultRowHeight="14.25"/>
  <cols>
    <col width="20.265625" customWidth="1" style="313" min="2" max="2"/>
    <col width="27.73046875" customWidth="1" style="313" min="3" max="3"/>
    <col width="33.9296875" customWidth="1" style="313" min="4" max="4"/>
    <col width="20.33203125" customWidth="1" style="313" min="6" max="6"/>
    <col width="11.73046875" customWidth="1" style="313" min="7" max="7"/>
    <col width="26.73046875" customWidth="1" style="313" min="8" max="8"/>
    <col width="11.73046875" customWidth="1" style="313" min="9" max="9"/>
    <col width="23.46484375" customWidth="1" style="5" min="10" max="10"/>
    <col width="14.19921875" customWidth="1" style="313" min="11" max="11"/>
    <col width="20.1328125" customWidth="1" style="5" min="12" max="12"/>
    <col width="27.86328125" customWidth="1" style="5" min="13" max="13"/>
    <col width="22.6640625" customWidth="1" style="313" min="14" max="14"/>
    <col width="8" customWidth="1" style="313" min="16" max="16"/>
    <col width="10" customWidth="1" style="313" min="17" max="17"/>
    <col width="34.265625" bestFit="1" customWidth="1" style="313" min="18" max="18"/>
    <col width="22.33203125" bestFit="1" customWidth="1" style="313" min="19" max="19"/>
    <col width="17.19921875" customWidth="1" style="313" min="20" max="30"/>
    <col width="30.53125" customWidth="1" style="313" min="31" max="31"/>
    <col width="16.73046875" bestFit="1" customWidth="1" style="5" min="32" max="32"/>
    <col width="11.86328125" bestFit="1" customWidth="1" style="313" min="33" max="36"/>
  </cols>
  <sheetData>
    <row r="1" ht="31.9" customHeight="1" s="313">
      <c r="K1" s="226" t="inlineStr">
        <is>
          <t>What is the best combination of greens given my equity and available space?</t>
        </is>
      </c>
      <c r="S1" t="n">
        <v>0</v>
      </c>
      <c r="T1" t="n">
        <v>1</v>
      </c>
      <c r="U1" t="n">
        <v>2</v>
      </c>
      <c r="V1" t="n">
        <v>3</v>
      </c>
      <c r="W1" t="n">
        <v>4</v>
      </c>
      <c r="X1" t="n">
        <v>5</v>
      </c>
      <c r="Y1" t="n">
        <v>6</v>
      </c>
      <c r="Z1" t="n">
        <v>7</v>
      </c>
      <c r="AA1" t="n">
        <v>8</v>
      </c>
      <c r="AB1" t="n">
        <v>9</v>
      </c>
      <c r="AC1" t="n">
        <v>10</v>
      </c>
    </row>
    <row r="2" ht="18" customHeight="1" s="313">
      <c r="S2" s="6" t="inlineStr">
        <is>
          <t>Year 0</t>
        </is>
      </c>
      <c r="T2" s="7" t="inlineStr">
        <is>
          <t>Year 1</t>
        </is>
      </c>
      <c r="U2" s="7" t="inlineStr">
        <is>
          <t>Year 2</t>
        </is>
      </c>
      <c r="V2" s="7" t="inlineStr">
        <is>
          <t>Year 3</t>
        </is>
      </c>
      <c r="W2" s="7" t="inlineStr">
        <is>
          <t>Year 4</t>
        </is>
      </c>
      <c r="X2" s="7" t="inlineStr">
        <is>
          <t>Year 5</t>
        </is>
      </c>
      <c r="Y2" s="7" t="inlineStr">
        <is>
          <t>Year 6</t>
        </is>
      </c>
      <c r="Z2" s="7" t="inlineStr">
        <is>
          <t>Year 7</t>
        </is>
      </c>
      <c r="AA2" s="7" t="inlineStr">
        <is>
          <t>Year 8</t>
        </is>
      </c>
      <c r="AB2" s="7" t="inlineStr">
        <is>
          <t>Year 9</t>
        </is>
      </c>
      <c r="AC2" s="7" t="inlineStr">
        <is>
          <t>Year 10</t>
        </is>
      </c>
      <c r="AF2" s="7" t="inlineStr">
        <is>
          <t>Waterfall</t>
        </is>
      </c>
    </row>
    <row r="3" ht="21" customHeight="1" s="313">
      <c r="H3" s="89" t="inlineStr">
        <is>
          <t>Legend</t>
        </is>
      </c>
      <c r="L3" s="79" t="inlineStr">
        <is>
          <t>Constraints</t>
        </is>
      </c>
      <c r="P3" s="63" t="e">
        <v>#VALUE!</v>
      </c>
      <c r="R3" s="278" t="inlineStr">
        <is>
          <t>Gross Revenue (Sales)</t>
        </is>
      </c>
      <c r="S3" s="333" t="n">
        <v>0</v>
      </c>
      <c r="T3" s="333">
        <f>Revenues!J4</f>
        <v/>
      </c>
      <c r="U3" s="333">
        <f>M26</f>
        <v/>
      </c>
      <c r="V3" s="333">
        <f>U3</f>
        <v/>
      </c>
      <c r="W3" s="333">
        <f>V3</f>
        <v/>
      </c>
      <c r="X3" s="333">
        <f>W3</f>
        <v/>
      </c>
      <c r="Y3" s="333">
        <f>X3</f>
        <v/>
      </c>
      <c r="Z3" s="333">
        <f>Y3</f>
        <v/>
      </c>
      <c r="AA3" s="333">
        <f>Z3</f>
        <v/>
      </c>
      <c r="AB3" s="333">
        <f>AA3</f>
        <v/>
      </c>
      <c r="AC3" s="333">
        <f>AB3</f>
        <v/>
      </c>
      <c r="AE3" s="8" t="inlineStr">
        <is>
          <t>Gross Revenue (Sales)</t>
        </is>
      </c>
      <c r="AF3" s="334">
        <f>AC3</f>
        <v/>
      </c>
    </row>
    <row r="4">
      <c r="H4" s="91" t="inlineStr">
        <is>
          <t>User Input</t>
        </is>
      </c>
      <c r="M4" s="5" t="inlineStr">
        <is>
          <t>Model</t>
        </is>
      </c>
      <c r="R4" s="280" t="inlineStr">
        <is>
          <t>(-) Sales Taxes</t>
        </is>
      </c>
      <c r="S4" s="335" t="n">
        <v>0</v>
      </c>
      <c r="T4" s="335">
        <f>Revenues!J5</f>
        <v/>
      </c>
      <c r="U4" s="335">
        <f>Revenues!K5</f>
        <v/>
      </c>
      <c r="V4" s="335">
        <f>U4</f>
        <v/>
      </c>
      <c r="W4" s="335">
        <f>V4</f>
        <v/>
      </c>
      <c r="X4" s="335">
        <f>W4</f>
        <v/>
      </c>
      <c r="Y4" s="335">
        <f>X4</f>
        <v/>
      </c>
      <c r="Z4" s="335">
        <f>Y4</f>
        <v/>
      </c>
      <c r="AA4" s="335">
        <f>Z4</f>
        <v/>
      </c>
      <c r="AB4" s="335">
        <f>AA4</f>
        <v/>
      </c>
      <c r="AC4" s="335">
        <f>AB4</f>
        <v/>
      </c>
      <c r="AE4" t="inlineStr">
        <is>
          <t xml:space="preserve"> Sales Taxes</t>
        </is>
      </c>
      <c r="AF4" s="336">
        <f>-AC4</f>
        <v/>
      </c>
    </row>
    <row r="5" ht="18" customHeight="1" s="313">
      <c r="H5" s="131" t="inlineStr">
        <is>
          <t>Set Parameter</t>
        </is>
      </c>
      <c r="L5" s="5" t="inlineStr">
        <is>
          <t>Equity</t>
        </is>
      </c>
      <c r="M5" s="227" t="n">
        <v>10000</v>
      </c>
      <c r="N5" t="inlineStr">
        <is>
          <t>$</t>
        </is>
      </c>
      <c r="R5" s="282" t="inlineStr">
        <is>
          <t>(=) Net Revenue</t>
        </is>
      </c>
      <c r="S5" s="333" t="n">
        <v>0</v>
      </c>
      <c r="T5" s="333">
        <f>T3-T4</f>
        <v/>
      </c>
      <c r="U5" s="333">
        <f>U3-U4</f>
        <v/>
      </c>
      <c r="V5" s="333">
        <f>V3-V4</f>
        <v/>
      </c>
      <c r="W5" s="333">
        <f>W3-W4</f>
        <v/>
      </c>
      <c r="X5" s="333">
        <f>X3-X4</f>
        <v/>
      </c>
      <c r="Y5" s="333">
        <f>Y3-Y4</f>
        <v/>
      </c>
      <c r="Z5" s="333">
        <f>Z3-Z4</f>
        <v/>
      </c>
      <c r="AA5" s="333">
        <f>AA3-AA4</f>
        <v/>
      </c>
      <c r="AB5" s="333">
        <f>AB3-AB4</f>
        <v/>
      </c>
      <c r="AC5" s="333">
        <f>AC3-AC4</f>
        <v/>
      </c>
      <c r="AE5" t="inlineStr">
        <is>
          <t xml:space="preserve"> Cost of Goods Sold (COGS)</t>
        </is>
      </c>
      <c r="AF5" s="336">
        <f>-AC6</f>
        <v/>
      </c>
    </row>
    <row r="6">
      <c r="H6" s="90" t="inlineStr">
        <is>
          <t>Constraint (user input)</t>
        </is>
      </c>
      <c r="L6" s="5" t="inlineStr">
        <is>
          <t>Area</t>
        </is>
      </c>
      <c r="M6" s="227" t="n">
        <v>1000</v>
      </c>
      <c r="N6" t="inlineStr">
        <is>
          <t>m²</t>
        </is>
      </c>
      <c r="R6" s="280" t="inlineStr">
        <is>
          <t>(-) Cost of Goods Sold (COGS)</t>
        </is>
      </c>
      <c r="S6" s="335" t="n">
        <v>0</v>
      </c>
      <c r="T6" s="335">
        <f>Costs!I22-T8-T9</f>
        <v/>
      </c>
      <c r="U6" s="335">
        <f>T6</f>
        <v/>
      </c>
      <c r="V6" s="335">
        <f>U6</f>
        <v/>
      </c>
      <c r="W6" s="335">
        <f>V6</f>
        <v/>
      </c>
      <c r="X6" s="335">
        <f>W6</f>
        <v/>
      </c>
      <c r="Y6" s="335">
        <f>X6</f>
        <v/>
      </c>
      <c r="Z6" s="335">
        <f>Y6</f>
        <v/>
      </c>
      <c r="AA6" s="335">
        <f>Z6</f>
        <v/>
      </c>
      <c r="AB6" s="335">
        <f>AA6</f>
        <v/>
      </c>
      <c r="AC6" s="335">
        <f>AB6</f>
        <v/>
      </c>
      <c r="AE6" t="inlineStr">
        <is>
          <t xml:space="preserve"> People Costs</t>
        </is>
      </c>
      <c r="AF6" s="336">
        <f>-AC7</f>
        <v/>
      </c>
    </row>
    <row r="7">
      <c r="H7" s="3" t="inlineStr">
        <is>
          <t>Variables</t>
        </is>
      </c>
      <c r="R7" s="280" t="inlineStr">
        <is>
          <t>(-) People Costs</t>
        </is>
      </c>
      <c r="S7" s="335" t="n">
        <v>0</v>
      </c>
      <c r="T7" s="335">
        <f>E27</f>
        <v/>
      </c>
      <c r="U7" s="335">
        <f>T7</f>
        <v/>
      </c>
      <c r="V7" s="335">
        <f>U7</f>
        <v/>
      </c>
      <c r="W7" s="335">
        <f>V7</f>
        <v/>
      </c>
      <c r="X7" s="335">
        <f>W7</f>
        <v/>
      </c>
      <c r="Y7" s="335">
        <f>X7</f>
        <v/>
      </c>
      <c r="Z7" s="335">
        <f>Y7</f>
        <v/>
      </c>
      <c r="AA7" s="335">
        <f>Z7</f>
        <v/>
      </c>
      <c r="AB7" s="335">
        <f>AA7</f>
        <v/>
      </c>
      <c r="AC7" s="335">
        <f>AB7</f>
        <v/>
      </c>
      <c r="AE7" t="inlineStr">
        <is>
          <t>Water Costs</t>
        </is>
      </c>
      <c r="AF7" s="336">
        <f>-AC8</f>
        <v/>
      </c>
    </row>
    <row r="8">
      <c r="H8" s="92" t="inlineStr">
        <is>
          <t>Formula (do not change)</t>
        </is>
      </c>
      <c r="R8" s="280" t="inlineStr">
        <is>
          <t>(-) Water</t>
        </is>
      </c>
      <c r="S8" s="335" t="n">
        <v>0</v>
      </c>
      <c r="T8" s="335">
        <f>Costs!D73</f>
        <v/>
      </c>
      <c r="U8" s="335">
        <f>T8</f>
        <v/>
      </c>
      <c r="V8" s="335">
        <f>U8</f>
        <v/>
      </c>
      <c r="W8" s="335">
        <f>V8</f>
        <v/>
      </c>
      <c r="X8" s="335">
        <f>W8</f>
        <v/>
      </c>
      <c r="Y8" s="335">
        <f>X8</f>
        <v/>
      </c>
      <c r="Z8" s="335">
        <f>Y8</f>
        <v/>
      </c>
      <c r="AA8" s="335">
        <f>Z8</f>
        <v/>
      </c>
      <c r="AB8" s="335">
        <f>AA8</f>
        <v/>
      </c>
      <c r="AC8" s="335">
        <f>AB8</f>
        <v/>
      </c>
      <c r="AE8" t="inlineStr">
        <is>
          <t>Energy Costs</t>
        </is>
      </c>
      <c r="AF8" s="336">
        <f>-AC9</f>
        <v/>
      </c>
    </row>
    <row r="9" ht="21" customHeight="1" s="313">
      <c r="H9" s="99" t="inlineStr">
        <is>
          <t>Output</t>
        </is>
      </c>
      <c r="L9" s="79" t="inlineStr">
        <is>
          <t>Chosen</t>
        </is>
      </c>
      <c r="M9" s="131" t="inlineStr">
        <is>
          <t>Lettuce</t>
        </is>
      </c>
      <c r="R9" s="280" t="inlineStr">
        <is>
          <t>(-) Energy</t>
        </is>
      </c>
      <c r="S9" s="335" t="n">
        <v>0</v>
      </c>
      <c r="T9" s="335">
        <f>Costs!E69</f>
        <v/>
      </c>
      <c r="U9" s="335">
        <f>T9</f>
        <v/>
      </c>
      <c r="V9" s="335">
        <f>U9</f>
        <v/>
      </c>
      <c r="W9" s="335">
        <f>V9</f>
        <v/>
      </c>
      <c r="X9" s="335">
        <f>W9</f>
        <v/>
      </c>
      <c r="Y9" s="335">
        <f>X9</f>
        <v/>
      </c>
      <c r="Z9" s="335">
        <f>Y9</f>
        <v/>
      </c>
      <c r="AA9" s="335">
        <f>Z9</f>
        <v/>
      </c>
      <c r="AB9" s="335">
        <f>AA9</f>
        <v/>
      </c>
      <c r="AC9" s="335">
        <f>AB9</f>
        <v/>
      </c>
      <c r="AE9" t="inlineStr">
        <is>
          <t xml:space="preserve"> Debt Interest</t>
        </is>
      </c>
      <c r="AF9" s="336">
        <f>-AC11</f>
        <v/>
      </c>
    </row>
    <row r="10" ht="18" customHeight="1" s="313">
      <c r="M10" s="131" t="inlineStr">
        <is>
          <t>Tilapia</t>
        </is>
      </c>
      <c r="R10" s="282" t="inlineStr">
        <is>
          <t>(=) EBITDA</t>
        </is>
      </c>
      <c r="S10" s="333">
        <f>S5-SUM(S6:S7)</f>
        <v/>
      </c>
      <c r="T10" s="333">
        <f>T5-SUM(T6:T9)</f>
        <v/>
      </c>
      <c r="U10" s="333">
        <f>U5-SUM(U6:U9)</f>
        <v/>
      </c>
      <c r="V10" s="333">
        <f>V5-SUM(V6:V9)</f>
        <v/>
      </c>
      <c r="W10" s="333">
        <f>W5-SUM(W6:W9)</f>
        <v/>
      </c>
      <c r="X10" s="333">
        <f>X5-SUM(X6:X9)</f>
        <v/>
      </c>
      <c r="Y10" s="333">
        <f>Y5-SUM(Y6:Y9)</f>
        <v/>
      </c>
      <c r="Z10" s="333">
        <f>Z5-SUM(Z6:Z9)</f>
        <v/>
      </c>
      <c r="AA10" s="333">
        <f>AA5-SUM(AA6:AA9)</f>
        <v/>
      </c>
      <c r="AB10" s="333">
        <f>AB5-SUM(AB6:AB9)</f>
        <v/>
      </c>
      <c r="AC10" s="333">
        <f>AC5-SUM(AC6:AC9)</f>
        <v/>
      </c>
      <c r="AE10" t="inlineStr">
        <is>
          <t xml:space="preserve"> Corporate Tax</t>
        </is>
      </c>
      <c r="AF10" s="336">
        <f>-AC12</f>
        <v/>
      </c>
    </row>
    <row r="11">
      <c r="M11" s="131" t="inlineStr">
        <is>
          <t>South America</t>
        </is>
      </c>
      <c r="R11" s="280" t="inlineStr">
        <is>
          <t>(-) Debt Interest</t>
        </is>
      </c>
      <c r="S11" s="335" t="n">
        <v>0</v>
      </c>
      <c r="T11" s="335">
        <f>Funding!D17</f>
        <v/>
      </c>
      <c r="U11" s="335">
        <f>Funding!E17</f>
        <v/>
      </c>
      <c r="V11" s="335">
        <f>Funding!F17</f>
        <v/>
      </c>
      <c r="W11" s="335">
        <f>Funding!G17</f>
        <v/>
      </c>
      <c r="X11" s="335">
        <f>Funding!H17</f>
        <v/>
      </c>
      <c r="Y11" s="335">
        <f>Funding!I17</f>
        <v/>
      </c>
      <c r="Z11" s="335">
        <f>Funding!J17</f>
        <v/>
      </c>
      <c r="AA11" s="335">
        <f>Funding!K17</f>
        <v/>
      </c>
      <c r="AB11" s="335">
        <f>Funding!L17</f>
        <v/>
      </c>
      <c r="AC11" s="335">
        <f>Funding!M17</f>
        <v/>
      </c>
      <c r="AE11" t="inlineStr">
        <is>
          <t xml:space="preserve"> Investment </t>
        </is>
      </c>
      <c r="AF11" s="336">
        <f>-AC13</f>
        <v/>
      </c>
    </row>
    <row r="12">
      <c r="R12" s="280" t="inlineStr">
        <is>
          <t>(-) Corporate Tax</t>
        </is>
      </c>
      <c r="S12" s="335" t="n">
        <v>0</v>
      </c>
      <c r="T12" s="335">
        <f>MAX(T10*Revenues!$B$12,0)</f>
        <v/>
      </c>
      <c r="U12" s="335">
        <f>MAX(U10*Revenues!$B$12,0)</f>
        <v/>
      </c>
      <c r="V12" s="335">
        <f>MAX(V10*Revenues!$B$12,0)</f>
        <v/>
      </c>
      <c r="W12" s="335">
        <f>MAX(W10*Revenues!$B$12,0)</f>
        <v/>
      </c>
      <c r="X12" s="335">
        <f>MAX(X10*Revenues!$B$12,0)</f>
        <v/>
      </c>
      <c r="Y12" s="335">
        <f>MAX(Y10*Revenues!$B$12,0)</f>
        <v/>
      </c>
      <c r="Z12" s="335">
        <f>MAX(Z10*Revenues!$B$12,0)</f>
        <v/>
      </c>
      <c r="AA12" s="335">
        <f>MAX(AA10*Revenues!$B$12,0)</f>
        <v/>
      </c>
      <c r="AB12" s="335">
        <f>MAX(AB10*Revenues!$B$12,0)</f>
        <v/>
      </c>
      <c r="AC12" s="335">
        <f>MAX(AC10*Revenues!$B$12,0)</f>
        <v/>
      </c>
      <c r="AE12" s="32" t="inlineStr">
        <is>
          <t xml:space="preserve"> Project financing loan repayment </t>
        </is>
      </c>
      <c r="AF12" s="336">
        <f>-AC15</f>
        <v/>
      </c>
    </row>
    <row r="13" ht="18.4" customHeight="1" s="313" thickBot="1">
      <c r="R13" s="280" t="inlineStr">
        <is>
          <t>(-) Investment (Equity on Y0)</t>
        </is>
      </c>
      <c r="S13" s="335">
        <f>Funding!C5</f>
        <v/>
      </c>
      <c r="T13" s="335">
        <f>Investment!L4</f>
        <v/>
      </c>
      <c r="U13" s="335">
        <f>Investment!M4</f>
        <v/>
      </c>
      <c r="V13" s="335">
        <f>Investment!N4</f>
        <v/>
      </c>
      <c r="W13" s="335">
        <f>Investment!O4</f>
        <v/>
      </c>
      <c r="X13" s="335">
        <f>Investment!P4</f>
        <v/>
      </c>
      <c r="Y13" s="335">
        <f>Investment!Q4</f>
        <v/>
      </c>
      <c r="Z13" s="335">
        <f>Investment!R4</f>
        <v/>
      </c>
      <c r="AA13" s="335">
        <f>Investment!S4</f>
        <v/>
      </c>
      <c r="AB13" s="335">
        <f>Investment!T4</f>
        <v/>
      </c>
      <c r="AC13" s="335">
        <f>Investment!U4</f>
        <v/>
      </c>
      <c r="AE13" s="34" t="inlineStr">
        <is>
          <t>FREE CASH FLOW</t>
        </is>
      </c>
      <c r="AF13" s="336">
        <f>SUM(AF3:AF12)</f>
        <v/>
      </c>
    </row>
    <row r="14" ht="18.4" customHeight="1" s="313" thickTop="1">
      <c r="H14" t="inlineStr">
        <is>
          <t>Is is worth investing in some of the productivity boosters?</t>
        </is>
      </c>
      <c r="R14" s="284" t="inlineStr">
        <is>
          <t>(=) CASH FLOW</t>
        </is>
      </c>
      <c r="S14" s="337">
        <f>S10-S11-S12-S13</f>
        <v/>
      </c>
      <c r="T14" s="337">
        <f>T10-T11-T12-T13</f>
        <v/>
      </c>
      <c r="U14" s="337">
        <f>U10-U11-U12-U13</f>
        <v/>
      </c>
      <c r="V14" s="337">
        <f>V10-V11-V12-V13</f>
        <v/>
      </c>
      <c r="W14" s="337">
        <f>W10-W11-W12-W13</f>
        <v/>
      </c>
      <c r="X14" s="337">
        <f>X10-X11-X12-X13</f>
        <v/>
      </c>
      <c r="Y14" s="337">
        <f>Y10-Y11-Y12-Y13</f>
        <v/>
      </c>
      <c r="Z14" s="337">
        <f>Z10-Z11-Z12-Z13</f>
        <v/>
      </c>
      <c r="AA14" s="337">
        <f>AA10-AA11-AA12-AA13</f>
        <v/>
      </c>
      <c r="AB14" s="337">
        <f>AB10-AB11-AB12-AB13</f>
        <v/>
      </c>
      <c r="AC14" s="337">
        <f>AC10-AC11-AC12-AC13</f>
        <v/>
      </c>
    </row>
    <row r="15">
      <c r="H15" t="inlineStr">
        <is>
          <t>Which plant and fish combination is most adequate for my climate?</t>
        </is>
      </c>
      <c r="P15" s="32" t="n"/>
      <c r="Q15" s="32" t="n"/>
      <c r="R15" s="286" t="inlineStr">
        <is>
          <t xml:space="preserve">(-) Project financing loan repayment </t>
        </is>
      </c>
      <c r="S15" s="338" t="n">
        <v>0</v>
      </c>
      <c r="T15" s="338">
        <f>Funding!D16</f>
        <v/>
      </c>
      <c r="U15" s="338">
        <f>Funding!E16</f>
        <v/>
      </c>
      <c r="V15" s="338">
        <f>Funding!F16</f>
        <v/>
      </c>
      <c r="W15" s="338">
        <f>Funding!G16</f>
        <v/>
      </c>
      <c r="X15" s="338">
        <f>Funding!H16</f>
        <v/>
      </c>
      <c r="Y15" s="338">
        <f>Funding!I16</f>
        <v/>
      </c>
      <c r="Z15" s="338">
        <f>Funding!J16</f>
        <v/>
      </c>
      <c r="AA15" s="338">
        <f>Funding!K16</f>
        <v/>
      </c>
      <c r="AB15" s="338">
        <f>Funding!L16</f>
        <v/>
      </c>
      <c r="AC15" s="338">
        <f>Funding!M16</f>
        <v/>
      </c>
    </row>
    <row r="16" ht="18.4" customHeight="1" s="313" thickBot="1">
      <c r="H16" t="inlineStr">
        <is>
          <t>Give these greens and fish, what size do I need to make the endeavour commercially viable?</t>
        </is>
      </c>
      <c r="P16" s="32" t="n"/>
      <c r="Q16" s="32" t="n"/>
      <c r="R16" s="289" t="inlineStr">
        <is>
          <t>FREE CASH FLOW</t>
        </is>
      </c>
      <c r="S16" s="339">
        <f>S14-S15</f>
        <v/>
      </c>
      <c r="T16" s="339">
        <f>T14-T15</f>
        <v/>
      </c>
      <c r="U16" s="339">
        <f>U14-U15</f>
        <v/>
      </c>
      <c r="V16" s="339">
        <f>V14-V15</f>
        <v/>
      </c>
      <c r="W16" s="339">
        <f>W14-W15</f>
        <v/>
      </c>
      <c r="X16" s="339">
        <f>X14-X15</f>
        <v/>
      </c>
      <c r="Y16" s="339">
        <f>Y14-Y15</f>
        <v/>
      </c>
      <c r="Z16" s="339">
        <f>Z14-Z15</f>
        <v/>
      </c>
      <c r="AA16" s="339">
        <f>AA14-AA15</f>
        <v/>
      </c>
      <c r="AB16" s="339">
        <f>AB14-AB15</f>
        <v/>
      </c>
      <c r="AC16" s="339">
        <f>AC14-AC15</f>
        <v/>
      </c>
    </row>
    <row r="17" ht="16.15" customHeight="1" s="313" thickTop="1">
      <c r="R17" s="291" t="inlineStr">
        <is>
          <t>Adjusted value in time</t>
        </is>
      </c>
      <c r="S17" s="340">
        <f>S16/(1+WACC)^S1</f>
        <v/>
      </c>
      <c r="T17" s="340">
        <f>T16/(1+WACC)^T1</f>
        <v/>
      </c>
      <c r="U17" s="340">
        <f>U16/(1+WACC)^U1</f>
        <v/>
      </c>
      <c r="V17" s="340">
        <f>V16/(1+WACC)^V1</f>
        <v/>
      </c>
      <c r="W17" s="340">
        <f>W16/(1+WACC)^W1</f>
        <v/>
      </c>
      <c r="X17" s="340">
        <f>X16/(1+WACC)^X1</f>
        <v/>
      </c>
      <c r="Y17" s="340">
        <f>Y16/(1+WACC)^Y1</f>
        <v/>
      </c>
      <c r="Z17" s="340">
        <f>Z16/(1+WACC)^Z1</f>
        <v/>
      </c>
      <c r="AA17" s="340">
        <f>AA16/(1+WACC)^AA1</f>
        <v/>
      </c>
      <c r="AB17" s="340">
        <f>AB16/(1+WACC)^AB1</f>
        <v/>
      </c>
      <c r="AC17" s="340">
        <f>AC16/(1+WACC)^AC1</f>
        <v/>
      </c>
      <c r="AD17" s="341" t="n"/>
    </row>
    <row r="18" ht="15.4" customHeight="1" s="313">
      <c r="R18" s="291" t="inlineStr">
        <is>
          <t>Accumulated value in time</t>
        </is>
      </c>
      <c r="S18" s="340">
        <f>SUM($S$17:S17)</f>
        <v/>
      </c>
      <c r="T18" s="340">
        <f>SUM($S$17:T17)</f>
        <v/>
      </c>
      <c r="U18" s="340">
        <f>SUM($S$17:U17)</f>
        <v/>
      </c>
      <c r="V18" s="340">
        <f>SUM($S$17:V17)</f>
        <v/>
      </c>
      <c r="W18" s="340">
        <f>SUM($S$17:W17)</f>
        <v/>
      </c>
      <c r="X18" s="340">
        <f>SUM($S$17:X17)</f>
        <v/>
      </c>
      <c r="Y18" s="340">
        <f>SUM($S$17:Y17)</f>
        <v/>
      </c>
      <c r="Z18" s="340">
        <f>SUM($S$17:Z17)</f>
        <v/>
      </c>
      <c r="AA18" s="340">
        <f>SUM($S$17:AA17)</f>
        <v/>
      </c>
      <c r="AB18" s="340">
        <f>SUM($S$17:AB17)</f>
        <v/>
      </c>
      <c r="AC18" s="340">
        <f>SUM($S$17:AC17)</f>
        <v/>
      </c>
    </row>
    <row r="19">
      <c r="R19" s="286" t="n"/>
      <c r="S19" s="280" t="n"/>
      <c r="T19" s="280" t="n"/>
      <c r="U19" s="280" t="n"/>
      <c r="V19" s="280" t="n"/>
      <c r="W19" s="280" t="n"/>
      <c r="X19" s="280" t="n"/>
      <c r="Y19" s="280" t="n"/>
      <c r="Z19" s="280" t="n"/>
      <c r="AA19" s="280" t="n"/>
      <c r="AB19" s="280" t="n"/>
      <c r="AC19" s="280" t="n"/>
    </row>
    <row r="20" ht="17.65" customHeight="1" s="313" thickBot="1">
      <c r="R20" s="293" t="inlineStr">
        <is>
          <t>Net Present Value</t>
        </is>
      </c>
      <c r="S20" s="342">
        <f>S16+NPV(WACC,T16:AC16)</f>
        <v/>
      </c>
      <c r="T20" s="343">
        <f>IF(S20&gt;0,"YES","NO")</f>
        <v/>
      </c>
      <c r="U20" s="344" t="n"/>
      <c r="V20" s="280" t="n"/>
      <c r="W20" s="280" t="n"/>
      <c r="X20" s="280" t="n"/>
      <c r="Y20" s="280" t="n"/>
      <c r="Z20" s="344" t="n"/>
      <c r="AA20" s="344" t="n"/>
      <c r="AB20" s="344" t="n"/>
      <c r="AC20" s="344" t="n"/>
    </row>
    <row r="21" ht="10.15" customFormat="1" customHeight="1" s="32">
      <c r="B21" s="47" t="inlineStr">
        <is>
          <t>Environment</t>
        </is>
      </c>
      <c r="C21" s="10" t="n"/>
      <c r="D21" s="10" t="n"/>
      <c r="E21" s="29" t="n"/>
      <c r="F21" s="29" t="n"/>
      <c r="G21" s="29" t="n"/>
      <c r="H21" s="29" t="n"/>
      <c r="I21" s="29" t="n"/>
      <c r="J21" s="44" t="n"/>
      <c r="K21" s="29" t="n"/>
      <c r="L21" s="75" t="n"/>
      <c r="M21" s="44" t="n"/>
      <c r="N21" s="30" t="n"/>
      <c r="R21" s="286" t="n"/>
      <c r="S21" s="286" t="n"/>
      <c r="T21" s="286" t="n"/>
      <c r="U21" s="286" t="n"/>
      <c r="V21" s="286" t="n"/>
      <c r="W21" s="286" t="n"/>
      <c r="X21" s="286" t="n"/>
      <c r="Y21" s="286" t="n"/>
      <c r="Z21" s="286" t="n"/>
      <c r="AA21" s="286" t="n"/>
      <c r="AB21" s="286" t="n"/>
      <c r="AC21" s="286" t="n"/>
      <c r="AF21" s="5" t="n"/>
    </row>
    <row r="22" ht="21" customFormat="1" customHeight="1" s="32">
      <c r="B22" s="13" t="n"/>
      <c r="E22" s="32" t="n"/>
      <c r="F22" s="39" t="n"/>
      <c r="G22" s="39" t="n"/>
      <c r="H22" s="39" t="n"/>
      <c r="I22" s="39" t="n"/>
      <c r="J22" s="41" t="n"/>
      <c r="K22" s="39" t="n"/>
      <c r="L22" s="76" t="n"/>
      <c r="M22" s="37" t="n"/>
      <c r="N22" s="40" t="n"/>
      <c r="R22" s="293" t="inlineStr">
        <is>
          <t>Discounted Payback</t>
        </is>
      </c>
      <c r="S22" s="297">
        <f t="array" ref="S22">IFERROR(MATCH(TRUE,S18:AC18&gt;=0,0)-2+ABS(INDEX(S18:AC18,MATCH(TRUE,S18:AC18&gt;=0,0)-1))/(INDEX(S18:AC18,MATCH(TRUE,S18:AC18&gt;=0,0))-INDEX(S18:AC18,MATCH(TRUE,S18:AC18&gt;=0,0)-1)),"Over 10")</f>
        <v/>
      </c>
      <c r="T22" s="345" t="inlineStr">
        <is>
          <t>years</t>
        </is>
      </c>
      <c r="U22" s="286" t="n"/>
      <c r="V22" s="286" t="n"/>
      <c r="W22" s="286" t="n"/>
      <c r="X22" s="286" t="n"/>
      <c r="Y22" s="286" t="n"/>
      <c r="Z22" s="286" t="n"/>
      <c r="AA22" s="286" t="n"/>
      <c r="AB22" s="286" t="n"/>
      <c r="AC22" s="286" t="n"/>
      <c r="AF22" s="5" t="n"/>
    </row>
    <row r="23" ht="6.85" customFormat="1" customHeight="1" s="32" thickBot="1">
      <c r="B23" s="13" t="n"/>
      <c r="E23" s="32" t="n"/>
      <c r="F23" s="39" t="n"/>
      <c r="G23" s="39" t="n"/>
      <c r="H23" s="39" t="n"/>
      <c r="I23" s="39" t="n"/>
      <c r="J23" s="41" t="n"/>
      <c r="K23" s="39" t="n"/>
      <c r="L23" s="76" t="n"/>
      <c r="M23" s="37" t="n"/>
      <c r="N23" s="40" t="n"/>
      <c r="AF23" s="37" t="n"/>
    </row>
    <row r="24" ht="40.5" customFormat="1" customHeight="1" s="32">
      <c r="B24" s="42" t="inlineStr">
        <is>
          <t>Political</t>
        </is>
      </c>
      <c r="C24" s="67" t="inlineStr">
        <is>
          <t>Market</t>
        </is>
      </c>
      <c r="D24" s="10" t="n"/>
      <c r="E24" s="10" t="n"/>
      <c r="F24" s="71" t="e">
        <v>#VALUE!</v>
      </c>
      <c r="G24" s="51" t="n"/>
      <c r="H24" s="51" t="n"/>
      <c r="I24" s="51" t="n"/>
      <c r="J24" s="71" t="e">
        <v>#VALUE!</v>
      </c>
      <c r="K24" s="51" t="n"/>
      <c r="L24" s="72" t="e">
        <v>#VALUE!</v>
      </c>
      <c r="M24" s="66" t="e">
        <v>#VALUE!</v>
      </c>
      <c r="N24" s="40" t="n"/>
      <c r="AF24" s="37" t="n"/>
    </row>
    <row r="25" ht="26.75" customFormat="1" customHeight="1" s="32">
      <c r="B25" s="42" t="n"/>
      <c r="C25" s="13" t="n"/>
      <c r="F25" s="52" t="inlineStr">
        <is>
          <t>Fish &amp; Others</t>
        </is>
      </c>
      <c r="G25" s="53" t="n"/>
      <c r="H25" s="53" t="n"/>
      <c r="I25" s="53" t="n"/>
      <c r="J25" s="52" t="inlineStr">
        <is>
          <t>Greens</t>
        </is>
      </c>
      <c r="K25" s="53" t="n"/>
      <c r="L25" s="77" t="inlineStr">
        <is>
          <t>Services</t>
        </is>
      </c>
      <c r="M25" s="65" t="inlineStr">
        <is>
          <t>Revenue</t>
        </is>
      </c>
      <c r="N25" s="40" t="n"/>
      <c r="AF25" s="37" t="n"/>
    </row>
    <row r="26" ht="26.75" customFormat="1" customHeight="1" s="32" thickBot="1">
      <c r="B26" s="42" t="n"/>
      <c r="C26" s="56" t="inlineStr">
        <is>
          <t>Channel &amp; Clients</t>
        </is>
      </c>
      <c r="D26" s="252" t="n"/>
      <c r="E26" s="252" t="n"/>
      <c r="F26" s="154">
        <f>Revenues!G4</f>
        <v/>
      </c>
      <c r="G26" s="155" t="n"/>
      <c r="H26" s="155" t="n"/>
      <c r="I26" s="155" t="n"/>
      <c r="J26" s="156">
        <f>Revenues!G6</f>
        <v/>
      </c>
      <c r="K26" s="155" t="n"/>
      <c r="L26" s="157">
        <f>Revenues!G7</f>
        <v/>
      </c>
      <c r="M26" s="158">
        <f>SUM(F26:L26)</f>
        <v/>
      </c>
      <c r="N26" s="40" t="n"/>
      <c r="AF26" s="37" t="n"/>
    </row>
    <row r="27" ht="26.75" customFormat="1" customHeight="1" s="32">
      <c r="B27" s="42" t="inlineStr">
        <is>
          <t>Economic</t>
        </is>
      </c>
      <c r="C27" s="13" t="n"/>
      <c r="D27" s="45" t="inlineStr">
        <is>
          <t>Value Chain</t>
        </is>
      </c>
      <c r="E27" s="308">
        <f>Costs!I3</f>
        <v/>
      </c>
      <c r="F27" s="10" t="n"/>
      <c r="G27" s="29" t="n"/>
      <c r="H27" s="29" t="n"/>
      <c r="I27" s="29" t="n"/>
      <c r="J27" s="44" t="n"/>
      <c r="K27" s="29" t="n"/>
      <c r="L27" s="75" t="n"/>
      <c r="M27" s="74" t="n"/>
      <c r="N27" s="33" t="n"/>
      <c r="AF27" s="37" t="n"/>
    </row>
    <row r="28" ht="26.75" customFormat="1" customHeight="1" s="32">
      <c r="B28" s="42" t="n"/>
      <c r="C28" s="56" t="n"/>
      <c r="D28" s="13" t="n"/>
      <c r="G28" s="32" t="n"/>
      <c r="H28" s="32" t="n"/>
      <c r="I28" s="32" t="n"/>
      <c r="J28" s="37" t="n"/>
      <c r="K28" s="32" t="n"/>
      <c r="L28" s="73" t="n"/>
      <c r="M28" s="38" t="n"/>
      <c r="N28" s="33" t="n"/>
      <c r="AF28" s="37" t="n"/>
    </row>
    <row r="29" ht="26.75" customFormat="1" customHeight="1" s="32" thickBot="1">
      <c r="B29" s="42" t="n"/>
      <c r="C29" s="57" t="n"/>
      <c r="D29" s="43" t="inlineStr">
        <is>
          <t>Firm Infrastructure</t>
        </is>
      </c>
      <c r="E29" s="37" t="n"/>
      <c r="F29" s="37" t="n"/>
      <c r="G29" s="37" t="n"/>
      <c r="H29" s="37" t="n"/>
      <c r="I29" s="37" t="n"/>
      <c r="J29" s="37" t="n"/>
      <c r="K29" s="37" t="n"/>
      <c r="L29" s="73" t="n"/>
      <c r="M29" s="38" t="n"/>
      <c r="N29" s="33" t="n"/>
      <c r="AF29" s="37" t="n"/>
    </row>
    <row r="30" ht="26.75" customFormat="1" customHeight="1" s="32">
      <c r="B30" s="42" t="inlineStr">
        <is>
          <t>Social</t>
        </is>
      </c>
      <c r="C30" s="56" t="inlineStr">
        <is>
          <t>Price &amp; Promotion</t>
        </is>
      </c>
      <c r="D30" s="238" t="n"/>
      <c r="E30" s="159" t="inlineStr">
        <is>
          <t>Operations</t>
        </is>
      </c>
      <c r="F30" s="10" t="n"/>
      <c r="G30" s="10" t="n"/>
      <c r="H30" s="161" t="n"/>
      <c r="I30" s="161" t="n"/>
      <c r="J30" s="161" t="n"/>
      <c r="K30" s="162" t="n"/>
      <c r="L30" s="163" t="n"/>
      <c r="M30" s="164" t="n"/>
      <c r="N30" s="165" t="e">
        <v>#VALUE!</v>
      </c>
      <c r="AF30" s="37" t="n"/>
    </row>
    <row r="31" ht="34.5" customFormat="1" customHeight="1" s="32">
      <c r="B31" s="42" t="n"/>
      <c r="C31" s="13" t="n"/>
      <c r="D31" s="239" t="inlineStr">
        <is>
          <t>Human Resources Mgment</t>
        </is>
      </c>
      <c r="E31" s="13" t="n"/>
      <c r="H31" s="168" t="n"/>
      <c r="I31" s="168" t="n"/>
      <c r="J31" s="168" t="n"/>
      <c r="K31" s="164" t="n"/>
      <c r="L31" s="163" t="n"/>
      <c r="M31" s="169" t="e">
        <v>#VALUE!</v>
      </c>
      <c r="N31" s="346" t="n"/>
      <c r="S31" t="inlineStr">
        <is>
          <t>Temperature adjustment</t>
        </is>
      </c>
      <c r="U31" t="inlineStr">
        <is>
          <t>Equipment Energy consumtpion</t>
        </is>
      </c>
      <c r="AF31" s="37" t="n"/>
    </row>
    <row r="32" ht="26.75" customFormat="1" customHeight="1" s="32">
      <c r="B32" s="42" t="n"/>
      <c r="C32" s="57" t="n"/>
      <c r="D32" s="238" t="n"/>
      <c r="E32" s="170" t="n"/>
      <c r="F32" s="171" t="inlineStr">
        <is>
          <t>Fish Younglings</t>
        </is>
      </c>
      <c r="G32" s="171" t="n"/>
      <c r="H32" s="171" t="inlineStr">
        <is>
          <t>Biologic Surface Area</t>
        </is>
      </c>
      <c r="I32" s="171" t="n"/>
      <c r="J32" s="171" t="inlineStr">
        <is>
          <t>Green Younglings</t>
        </is>
      </c>
      <c r="K32" s="172" t="n"/>
      <c r="L32" s="173" t="n"/>
      <c r="M32" s="174" t="n"/>
      <c r="N32" s="175" t="inlineStr">
        <is>
          <t>Cash Flow</t>
        </is>
      </c>
      <c r="P32" s="63" t="e">
        <v>#VALUE!</v>
      </c>
      <c r="S32" s="231">
        <f>System_Parameters!O43</f>
        <v/>
      </c>
      <c r="T32" t="inlineStr">
        <is>
          <t>kWh/year</t>
        </is>
      </c>
      <c r="U32" s="231">
        <f>Investment!F5</f>
        <v/>
      </c>
      <c r="AF32" s="37" t="n"/>
    </row>
    <row r="33" ht="26.75" customFormat="1" customHeight="1" s="32">
      <c r="B33" s="42" t="inlineStr">
        <is>
          <t>Technological</t>
        </is>
      </c>
      <c r="C33" s="57" t="n"/>
      <c r="D33" s="239" t="inlineStr">
        <is>
          <t>Technology</t>
        </is>
      </c>
      <c r="E33" s="170" t="n"/>
      <c r="F33" s="176">
        <f>Costs!E62</f>
        <v/>
      </c>
      <c r="G33" s="171" t="n"/>
      <c r="H33" s="176">
        <f>Costs!C26</f>
        <v/>
      </c>
      <c r="I33" s="171" t="n"/>
      <c r="J33" s="176">
        <f>Costs!E41</f>
        <v/>
      </c>
      <c r="K33" s="172" t="n"/>
      <c r="L33" s="173" t="inlineStr">
        <is>
          <t>Services</t>
        </is>
      </c>
      <c r="M33" s="177" t="inlineStr">
        <is>
          <t>Cost</t>
        </is>
      </c>
      <c r="N33" s="346" t="n"/>
      <c r="S33" t="inlineStr">
        <is>
          <t>Water need</t>
        </is>
      </c>
      <c r="AF33" s="37" t="n"/>
    </row>
    <row r="34" ht="26.75" customFormat="1" customHeight="1" s="32">
      <c r="B34" s="42" t="n"/>
      <c r="C34" s="56" t="inlineStr">
        <is>
          <t>Differentiation</t>
        </is>
      </c>
      <c r="D34" s="238" t="n"/>
      <c r="E34" s="170" t="n"/>
      <c r="F34" s="171" t="inlineStr">
        <is>
          <t>Feed</t>
        </is>
      </c>
      <c r="G34" s="171" t="n"/>
      <c r="H34" s="171" t="inlineStr">
        <is>
          <t>Carbon Source</t>
        </is>
      </c>
      <c r="I34" s="171" t="n"/>
      <c r="J34" s="171" t="inlineStr">
        <is>
          <t>Substrate</t>
        </is>
      </c>
      <c r="K34" s="172" t="n"/>
      <c r="L34" s="178">
        <f>Costs!C35+SUM(Costs!G41:H41)+SUM(Costs!G62:H62)</f>
        <v/>
      </c>
      <c r="M34" s="179">
        <f>SUM(D27:L43)</f>
        <v/>
      </c>
      <c r="N34" s="200">
        <f>M26-M34</f>
        <v/>
      </c>
      <c r="P34" s="64">
        <f>S20</f>
        <v/>
      </c>
      <c r="S34" s="231">
        <f>System_Parameters!O45</f>
        <v/>
      </c>
      <c r="T34" t="inlineStr">
        <is>
          <t>mm/year</t>
        </is>
      </c>
      <c r="U34" s="231">
        <f>System_Parameters!Q45</f>
        <v/>
      </c>
      <c r="V34" t="inlineStr">
        <is>
          <t>m3/year</t>
        </is>
      </c>
      <c r="AF34" s="37" t="n"/>
    </row>
    <row r="35" ht="26.75" customFormat="1" customHeight="1" s="32">
      <c r="B35" s="42" t="n"/>
      <c r="C35" s="13" t="n"/>
      <c r="D35" s="239" t="inlineStr">
        <is>
          <t>Procurement</t>
        </is>
      </c>
      <c r="E35" s="170" t="n"/>
      <c r="F35" s="176">
        <f>Costs!F62</f>
        <v/>
      </c>
      <c r="G35" s="171" t="n"/>
      <c r="H35" s="176">
        <f>Costs!C27</f>
        <v/>
      </c>
      <c r="I35" s="171" t="n"/>
      <c r="J35" s="176">
        <f>Costs!F41</f>
        <v/>
      </c>
      <c r="K35" s="172" t="n"/>
      <c r="L35" s="173" t="n"/>
      <c r="M35" s="164" t="n"/>
      <c r="N35" s="164" t="inlineStr">
        <is>
          <t>Average Yearly</t>
        </is>
      </c>
      <c r="P35" s="300">
        <f>IFERROR(ROUND(S22,1)&amp;" years","Over 10 years")</f>
        <v/>
      </c>
      <c r="AF35" s="37" t="n"/>
    </row>
    <row r="36" ht="26.75" customFormat="1" customHeight="1" s="32">
      <c r="B36" s="42" t="inlineStr">
        <is>
          <t>Legal</t>
        </is>
      </c>
      <c r="C36" s="56" t="n"/>
      <c r="D36" s="238" t="n"/>
      <c r="E36" s="170" t="n"/>
      <c r="F36" s="171" t="n"/>
      <c r="G36" s="171" t="n"/>
      <c r="H36" s="171" t="inlineStr">
        <is>
          <t>Microbiota</t>
        </is>
      </c>
      <c r="I36" s="171" t="n"/>
      <c r="J36" s="171" t="inlineStr">
        <is>
          <t>Pollinator</t>
        </is>
      </c>
      <c r="K36" s="172" t="n"/>
      <c r="L36" s="173" t="n"/>
      <c r="M36" s="164" t="n"/>
      <c r="N36" s="180" t="n"/>
      <c r="AF36" s="37" t="n"/>
    </row>
    <row r="37" ht="26.75" customFormat="1" customHeight="1" s="32">
      <c r="B37" s="42" t="n"/>
      <c r="C37" s="57" t="n"/>
      <c r="D37" s="239" t="inlineStr">
        <is>
          <t>Internal Logistics</t>
        </is>
      </c>
      <c r="E37" s="170" t="n"/>
      <c r="F37" s="171" t="n"/>
      <c r="G37" s="171" t="n"/>
      <c r="H37" s="176">
        <f>Costs!C28</f>
        <v/>
      </c>
      <c r="I37" s="171" t="n"/>
      <c r="J37" s="176">
        <f>Costs!C31</f>
        <v/>
      </c>
      <c r="K37" s="172" t="n"/>
      <c r="L37" s="173" t="n"/>
      <c r="M37" s="164" t="n"/>
      <c r="N37" s="180" t="n"/>
      <c r="AF37" s="37" t="n"/>
    </row>
    <row r="38" ht="26.75" customFormat="1" customHeight="1" s="32">
      <c r="B38" s="42" t="n"/>
      <c r="C38" s="57" t="n"/>
      <c r="D38" s="238" t="n"/>
      <c r="E38" s="170" t="n"/>
      <c r="F38" s="171" t="inlineStr">
        <is>
          <t>Oxygen</t>
        </is>
      </c>
      <c r="G38" s="171" t="n"/>
      <c r="H38" s="171" t="inlineStr">
        <is>
          <t>Insects</t>
        </is>
      </c>
      <c r="I38" s="171" t="n"/>
      <c r="J38" s="171" t="inlineStr">
        <is>
          <t>Nutrients</t>
        </is>
      </c>
      <c r="K38" s="172" t="n"/>
      <c r="L38" s="173" t="n"/>
      <c r="M38" s="164" t="n"/>
      <c r="N38" s="180" t="n"/>
      <c r="AF38" s="37" t="n"/>
    </row>
    <row r="39" ht="26.75" customFormat="1" customHeight="1" s="32">
      <c r="B39" s="261" t="inlineStr">
        <is>
          <t>Environmental</t>
        </is>
      </c>
      <c r="C39" s="56" t="inlineStr">
        <is>
          <t>Risk &amp; Substitutes</t>
        </is>
      </c>
      <c r="D39" s="239" t="inlineStr">
        <is>
          <t>External Logistics</t>
        </is>
      </c>
      <c r="E39" s="170" t="n"/>
      <c r="F39" s="176">
        <f>Costs!C25</f>
        <v/>
      </c>
      <c r="G39" s="171" t="n"/>
      <c r="H39" s="176">
        <f>Costs!C29</f>
        <v/>
      </c>
      <c r="I39" s="171" t="n"/>
      <c r="J39" s="176">
        <f>Costs!C32</f>
        <v/>
      </c>
      <c r="K39" s="172" t="n"/>
      <c r="L39" s="173" t="n"/>
      <c r="M39" s="164" t="n"/>
      <c r="N39" s="180" t="n"/>
      <c r="AF39" s="37" t="n"/>
    </row>
    <row r="40" ht="26.75" customFormat="1" customHeight="1" s="32">
      <c r="B40" s="42" t="n"/>
      <c r="C40" s="13" t="n"/>
      <c r="D40" s="238" t="n"/>
      <c r="E40" s="170" t="n"/>
      <c r="F40" s="171" t="n"/>
      <c r="G40" s="171" t="n"/>
      <c r="H40" s="171" t="inlineStr">
        <is>
          <t>Worms</t>
        </is>
      </c>
      <c r="I40" s="171" t="n"/>
      <c r="J40" s="171" t="inlineStr">
        <is>
          <t>Carbon Dioxide</t>
        </is>
      </c>
      <c r="K40" s="172" t="n"/>
      <c r="L40" s="173" t="n"/>
      <c r="M40" s="164" t="n"/>
      <c r="N40" s="180" t="n"/>
      <c r="AF40" s="37" t="n"/>
    </row>
    <row r="41" ht="26.75" customFormat="1" customHeight="1" s="32">
      <c r="B41" s="42" t="n"/>
      <c r="C41" s="57" t="n"/>
      <c r="D41" s="239" t="inlineStr">
        <is>
          <t>Sales &amp; Marketing</t>
        </is>
      </c>
      <c r="E41" s="170" t="n"/>
      <c r="F41" s="171" t="n"/>
      <c r="G41" s="171" t="n"/>
      <c r="H41" s="176">
        <f>Costs!C30</f>
        <v/>
      </c>
      <c r="I41" s="171" t="n"/>
      <c r="J41" s="176">
        <f>Costs!C33</f>
        <v/>
      </c>
      <c r="K41" s="172" t="n"/>
      <c r="L41" s="173" t="n"/>
      <c r="M41" s="164" t="n"/>
      <c r="N41" s="180" t="n"/>
      <c r="AF41" s="37" t="n"/>
    </row>
    <row r="42" ht="26.75" customFormat="1" customHeight="1" s="32">
      <c r="B42" s="42" t="n"/>
      <c r="C42" s="57" t="n"/>
      <c r="D42" s="238" t="n"/>
      <c r="E42" s="170" t="n"/>
      <c r="F42" s="171" t="n"/>
      <c r="G42" s="171" t="inlineStr">
        <is>
          <t>Water</t>
        </is>
      </c>
      <c r="H42" s="171" t="n"/>
      <c r="I42" s="171" t="inlineStr">
        <is>
          <t>Controls</t>
        </is>
      </c>
      <c r="J42" s="171" t="n"/>
      <c r="K42" s="172" t="inlineStr">
        <is>
          <t>Energy</t>
        </is>
      </c>
      <c r="L42" s="173" t="n"/>
      <c r="M42" s="164" t="n"/>
      <c r="N42" s="180" t="n"/>
      <c r="AF42" s="37" t="n"/>
    </row>
    <row r="43" ht="26.75" customFormat="1" customHeight="1" s="32" thickBot="1">
      <c r="B43" s="35" t="n"/>
      <c r="C43" s="58" t="n"/>
      <c r="D43" s="181" t="n"/>
      <c r="E43" s="182" t="n"/>
      <c r="F43" s="183" t="n"/>
      <c r="G43" s="184">
        <f>Costs!D73</f>
        <v/>
      </c>
      <c r="H43" s="183" t="n"/>
      <c r="I43" s="184">
        <f>Costs!C34+Costs!C23</f>
        <v/>
      </c>
      <c r="J43" s="183" t="n"/>
      <c r="K43" s="185">
        <f>Costs!E69</f>
        <v/>
      </c>
      <c r="L43" s="186" t="n"/>
      <c r="M43" s="187" t="n"/>
      <c r="N43" s="188" t="n"/>
      <c r="AF43" s="37" t="n"/>
    </row>
    <row r="44" ht="11.65" customFormat="1" customHeight="1" s="32">
      <c r="B44" s="59" t="n"/>
      <c r="C44" s="60" t="n"/>
      <c r="D44" s="189" t="n"/>
      <c r="E44" s="190" t="n"/>
      <c r="F44" s="189" t="n"/>
      <c r="G44" s="189" t="n"/>
      <c r="H44" s="189" t="n"/>
      <c r="I44" s="189" t="n"/>
      <c r="J44" s="189" t="n"/>
      <c r="K44" s="189" t="n"/>
      <c r="L44" s="191" t="n"/>
      <c r="M44" s="192" t="e">
        <v>#VALUE!</v>
      </c>
      <c r="N44" s="180" t="n"/>
      <c r="AF44" s="37" t="n"/>
    </row>
    <row r="45" ht="21.75" customFormat="1" customHeight="1" s="32">
      <c r="B45" s="59" t="n"/>
      <c r="C45" s="60" t="n"/>
      <c r="D45" s="197" t="inlineStr">
        <is>
          <t>Administration &amp; Logistics Infrastructure</t>
        </is>
      </c>
      <c r="E45" s="190" t="n"/>
      <c r="F45" s="197" t="inlineStr">
        <is>
          <t>Recirculating Aquaculture System (RAS)</t>
        </is>
      </c>
      <c r="G45" s="189" t="n"/>
      <c r="H45" s="197" t="inlineStr">
        <is>
          <t>System sinergies (Sludge, Nutrients, etc.)</t>
        </is>
      </c>
      <c r="I45" s="189" t="n"/>
      <c r="J45" s="197" t="inlineStr">
        <is>
          <t>Hydroponics System</t>
        </is>
      </c>
      <c r="K45" s="189" t="n"/>
      <c r="L45" s="194" t="inlineStr">
        <is>
          <t>Service Infrastructure</t>
        </is>
      </c>
      <c r="M45" s="347" t="n"/>
      <c r="N45" s="180" t="n"/>
      <c r="AF45" s="37" t="n"/>
    </row>
    <row r="46" ht="31.9" customFormat="1" customHeight="1" s="63">
      <c r="B46" s="61" t="n"/>
      <c r="C46" s="62" t="n"/>
      <c r="E46" s="196" t="n"/>
      <c r="G46" s="197" t="n"/>
      <c r="I46" s="197" t="n"/>
      <c r="K46" s="197" t="n"/>
      <c r="L46" s="348" t="n"/>
      <c r="M46" s="198" t="inlineStr">
        <is>
          <t>Investment</t>
        </is>
      </c>
      <c r="N46" s="199" t="n"/>
      <c r="AE46" s="32" t="n"/>
      <c r="AF46" s="37" t="n"/>
    </row>
    <row r="47" ht="34.25" customFormat="1" customHeight="1" s="32" thickBot="1">
      <c r="A47" s="16" t="n"/>
      <c r="B47" s="301" t="n"/>
      <c r="C47" s="302" t="n"/>
      <c r="D47" s="117">
        <f>Investment!K64</f>
        <v/>
      </c>
      <c r="E47" s="303" t="n"/>
      <c r="F47" s="117">
        <f>Investment!K9</f>
        <v/>
      </c>
      <c r="G47" s="304" t="n"/>
      <c r="H47" s="117">
        <f>Investment!K49</f>
        <v/>
      </c>
      <c r="I47" s="304" t="n"/>
      <c r="J47" s="117">
        <f>Investment!K33</f>
        <v/>
      </c>
      <c r="K47" s="304" t="n"/>
      <c r="L47" s="305">
        <f>Investment!K73</f>
        <v/>
      </c>
      <c r="M47" s="118">
        <f>Investment!K4</f>
        <v/>
      </c>
      <c r="N47" s="188" t="n"/>
      <c r="AF47" s="37" t="n"/>
    </row>
    <row r="48" ht="9" customHeight="1" s="313">
      <c r="AE48" s="63" t="n"/>
      <c r="AF48" s="63" t="n"/>
    </row>
    <row r="49">
      <c r="AE49" s="32" t="n"/>
      <c r="AF49" s="37" t="n"/>
    </row>
  </sheetData>
  <mergeCells count="21">
    <mergeCell ref="N32:N33"/>
    <mergeCell ref="C30:C31"/>
    <mergeCell ref="D27:D28"/>
    <mergeCell ref="P35:Q35"/>
    <mergeCell ref="E27:F28"/>
    <mergeCell ref="C26:C27"/>
    <mergeCell ref="D45:D46"/>
    <mergeCell ref="P34:Q34"/>
    <mergeCell ref="F45:F46"/>
    <mergeCell ref="P32:Q33"/>
    <mergeCell ref="C24:E25"/>
    <mergeCell ref="H45:H46"/>
    <mergeCell ref="J45:J46"/>
    <mergeCell ref="L45:L46"/>
    <mergeCell ref="P3:Q14"/>
    <mergeCell ref="C39:C40"/>
    <mergeCell ref="N30:N31"/>
    <mergeCell ref="M44:M45"/>
    <mergeCell ref="C34:C35"/>
    <mergeCell ref="E30:G31"/>
    <mergeCell ref="B21:D23"/>
  </mergeCells>
  <conditionalFormatting sqref="S3:AC18">
    <cfRule type="cellIs" priority="2" operator="lessThan" dxfId="0">
      <formula>0</formula>
    </cfRule>
  </conditionalFormatting>
  <conditionalFormatting sqref="S20">
    <cfRule type="cellIs" priority="1" operator="lessThan" dxfId="0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R75"/>
  <sheetViews>
    <sheetView showGridLines="0" topLeftCell="A7" zoomScale="90" zoomScaleNormal="90" workbookViewId="0">
      <selection activeCell="R4" sqref="R4"/>
    </sheetView>
  </sheetViews>
  <sheetFormatPr baseColWidth="8" defaultRowHeight="14.25"/>
  <cols>
    <col width="15.3984375" customWidth="1" style="313" min="1" max="1"/>
    <col width="15.1328125" customWidth="1" style="313" min="2" max="2"/>
    <col width="9.33203125" customWidth="1" style="313" min="3" max="13"/>
    <col width="12.19921875" customWidth="1" style="313" min="14" max="14"/>
    <col width="9.33203125" customWidth="1" style="313" min="15" max="15"/>
    <col width="8.265625" customWidth="1" style="313" min="17" max="17"/>
    <col width="11" customWidth="1" style="313" min="18" max="18"/>
  </cols>
  <sheetData>
    <row r="1" ht="18" customHeight="1" s="313">
      <c r="A1" s="271" t="inlineStr">
        <is>
          <t>Parameters</t>
        </is>
      </c>
      <c r="B1" s="271" t="n"/>
      <c r="C1" s="272" t="n"/>
      <c r="D1" s="272" t="n"/>
      <c r="E1" s="272" t="n"/>
      <c r="F1" s="272" t="n"/>
      <c r="G1" s="272" t="n"/>
      <c r="H1" s="272" t="n"/>
      <c r="I1" s="272" t="n"/>
      <c r="J1" s="272" t="n"/>
      <c r="K1" s="272" t="n"/>
      <c r="L1" s="272" t="n"/>
      <c r="M1" s="272" t="n"/>
      <c r="N1" s="272" t="n"/>
      <c r="O1" s="272" t="n"/>
      <c r="P1" s="272" t="n"/>
      <c r="Q1" s="272" t="n"/>
      <c r="R1" s="272" t="n"/>
    </row>
    <row r="3" ht="42.75" customHeight="1" s="313">
      <c r="A3" s="2" t="inlineStr">
        <is>
          <t>Sizing</t>
        </is>
      </c>
      <c r="N3" t="inlineStr">
        <is>
          <t>Total Area (m2)</t>
        </is>
      </c>
      <c r="O3" t="inlineStr">
        <is>
          <t>Production Area (m2)</t>
        </is>
      </c>
      <c r="P3" t="inlineStr">
        <is>
          <t>Area Hydroponic (m²)</t>
        </is>
      </c>
      <c r="R3" s="32" t="inlineStr">
        <is>
          <t>Yearly Gross Production (kg)</t>
        </is>
      </c>
    </row>
    <row r="4">
      <c r="A4" s="233" t="inlineStr">
        <is>
          <t>Plant-fish mass ratio (PFRM)(Kg/kg)</t>
        </is>
      </c>
      <c r="E4" s="310" t="n">
        <v>3.1</v>
      </c>
      <c r="F4" s="107" t="inlineStr">
        <is>
          <t>system produces 3.1 kg of plants for every 1 kg of fish harvested over the same measurement period</t>
        </is>
      </c>
      <c r="N4" s="130">
        <f>TOTAL_AREA</f>
        <v/>
      </c>
      <c r="O4" s="130">
        <f>N4*(1-E8)</f>
        <v/>
      </c>
      <c r="P4" s="130">
        <f>O4-P8</f>
        <v/>
      </c>
      <c r="Q4" s="138">
        <f>P4/O4</f>
        <v/>
      </c>
      <c r="R4" s="142">
        <f>P4*K14</f>
        <v/>
      </c>
    </row>
    <row r="5">
      <c r="A5" s="233" t="inlineStr">
        <is>
          <t>Average tank volume (m³)</t>
        </is>
      </c>
      <c r="B5" s="233" t="n"/>
      <c r="E5" s="310" t="n">
        <v>10</v>
      </c>
      <c r="F5" s="107" t="n"/>
      <c r="P5" s="130">
        <f>HYDROPONIC_AREA/E7</f>
        <v/>
      </c>
      <c r="Q5" t="inlineStr">
        <is>
          <t>Hydroponics units</t>
        </is>
      </c>
    </row>
    <row r="6">
      <c r="A6" s="233" t="inlineStr">
        <is>
          <t>Height tank (m)</t>
        </is>
      </c>
      <c r="B6" s="233" t="n"/>
      <c r="E6" s="310" t="n">
        <v>1.2</v>
      </c>
      <c r="F6" s="107" t="n"/>
    </row>
    <row r="7">
      <c r="A7" s="233" t="inlineStr">
        <is>
          <t>Max hydroponics system unit size (m²)</t>
        </is>
      </c>
      <c r="B7" s="233" t="n"/>
      <c r="E7" s="310" t="n">
        <v>5</v>
      </c>
      <c r="F7" s="107" t="n"/>
      <c r="P7" t="inlineStr">
        <is>
          <t>Area RAS (m²)</t>
        </is>
      </c>
    </row>
    <row r="8">
      <c r="A8" s="233" t="inlineStr">
        <is>
          <t>Administration, Logistics and Service necessary area (%)</t>
        </is>
      </c>
      <c r="B8" s="233" t="n"/>
      <c r="E8" s="141" t="n">
        <v>0.15</v>
      </c>
      <c r="F8" s="107" t="n"/>
      <c r="P8" s="130">
        <f>O4/(1+E4*K14/K19)</f>
        <v/>
      </c>
      <c r="Q8" s="138">
        <f>P8/O4</f>
        <v/>
      </c>
      <c r="R8" s="142">
        <f>P8*K17</f>
        <v/>
      </c>
    </row>
    <row r="9">
      <c r="P9" t="inlineStr">
        <is>
          <t>Volume RAS (m³)</t>
        </is>
      </c>
    </row>
    <row r="10" ht="14.25" customHeight="1" s="313">
      <c r="C10" s="63" t="inlineStr">
        <is>
          <t>Life Cycle 
(days/ organism)</t>
        </is>
      </c>
      <c r="D10" s="63" t="inlineStr">
        <is>
          <t>Space occupied (organism /(m²/m³))</t>
        </is>
      </c>
      <c r="E10" s="63" t="inlineStr">
        <is>
          <t>Organism production(kg/organism)</t>
        </is>
      </c>
      <c r="F10" s="63" t="inlineStr">
        <is>
          <t>Minimum Temperature ( C)</t>
        </is>
      </c>
      <c r="G10" s="63" t="inlineStr">
        <is>
          <t>Maximum Temperature ( C)</t>
        </is>
      </c>
      <c r="H10" s="63" t="inlineStr">
        <is>
          <t>Ideal Temperature ( C)</t>
        </is>
      </c>
      <c r="I10" s="63" t="inlineStr">
        <is>
          <t>Full renew (changes/ year)</t>
        </is>
      </c>
      <c r="J10" s="63" t="inlineStr">
        <is>
          <t>Density (kg/m²)</t>
        </is>
      </c>
      <c r="K10" s="63" t="inlineStr">
        <is>
          <t>Space yield (kg/m²)</t>
        </is>
      </c>
      <c r="P10" s="130">
        <f>P8/E6</f>
        <v/>
      </c>
      <c r="Q10" s="130">
        <f>ROUND(P8/E5,0)</f>
        <v/>
      </c>
      <c r="R10" t="inlineStr">
        <is>
          <t>RAS Tanks</t>
        </is>
      </c>
    </row>
    <row r="11"/>
    <row r="12"/>
    <row r="13">
      <c r="A13" s="106" t="inlineStr">
        <is>
          <t>Chosen Greens</t>
        </is>
      </c>
      <c r="B13" s="106" t="n"/>
    </row>
    <row r="14">
      <c r="A14" s="130">
        <f>CHOSEN_GREEN</f>
        <v/>
      </c>
      <c r="B14" s="130" t="n"/>
      <c r="C14" s="130">
        <f>VLOOKUP($A14,$A$19:$H$30,COLUMN(),0)</f>
        <v/>
      </c>
      <c r="D14" s="130">
        <f>VLOOKUP($A14,$A$19:$H$30,COLUMN(),0)</f>
        <v/>
      </c>
      <c r="E14" s="130">
        <f>VLOOKUP($A14,$A$19:$H$30,COLUMN(),0)</f>
        <v/>
      </c>
      <c r="F14" s="130">
        <f>VLOOKUP($A14,$A$19:$H$30,COLUMN(),0)</f>
        <v/>
      </c>
      <c r="G14" s="130">
        <f>VLOOKUP($A14,$A$19:$H$30,COLUMN(),0)</f>
        <v/>
      </c>
      <c r="H14" s="130">
        <f>VLOOKUP($A14,$A$19:$H$30,COLUMN(),0)</f>
        <v/>
      </c>
      <c r="I14" s="130">
        <f>365/C14</f>
        <v/>
      </c>
      <c r="J14" s="130">
        <f>E14*D14</f>
        <v/>
      </c>
      <c r="K14" s="130">
        <f>I14*E14*D14</f>
        <v/>
      </c>
    </row>
    <row r="16">
      <c r="A16" s="106" t="inlineStr">
        <is>
          <t>Chosen Aquatic</t>
        </is>
      </c>
      <c r="B16" s="106" t="n"/>
    </row>
    <row r="17">
      <c r="A17" s="130">
        <f>CHOSEN_FISH</f>
        <v/>
      </c>
      <c r="B17" s="130" t="n"/>
      <c r="C17" s="130">
        <f>VLOOKUP($A17,$A$33:$H$36,COLUMN(),0)</f>
        <v/>
      </c>
      <c r="D17" s="130">
        <f>VLOOKUP($A17,$A$33:$H$36,COLUMN(),0)</f>
        <v/>
      </c>
      <c r="E17" s="130">
        <f>VLOOKUP($A17,$A$33:$H$36,COLUMN(),0)</f>
        <v/>
      </c>
      <c r="F17" s="130">
        <f>VLOOKUP($A17,$A$33:$H$36,COLUMN(),0)</f>
        <v/>
      </c>
      <c r="G17" s="130">
        <f>VLOOKUP($A17,$A$33:$H$36,COLUMN(),0)</f>
        <v/>
      </c>
      <c r="H17" s="130">
        <f>VLOOKUP($A17,$A$33:$H$36,COLUMN(),0)</f>
        <v/>
      </c>
      <c r="I17" s="130">
        <f>365/C17</f>
        <v/>
      </c>
      <c r="J17" s="130">
        <f>E17*D17</f>
        <v/>
      </c>
      <c r="K17" s="130">
        <f>I17*E17*D17</f>
        <v/>
      </c>
    </row>
    <row r="18" ht="27.4" customHeight="1" s="313" thickBot="1">
      <c r="A18" s="132" t="inlineStr">
        <is>
          <t>Greens</t>
        </is>
      </c>
      <c r="B18" s="132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</row>
    <row r="19" ht="14.65" customHeight="1" s="313" thickTop="1">
      <c r="A19" t="inlineStr">
        <is>
          <t>Tomato</t>
        </is>
      </c>
      <c r="B19" s="106" t="n"/>
      <c r="C19" s="310" t="n">
        <v>365</v>
      </c>
      <c r="D19" s="310" t="n">
        <v>3.9</v>
      </c>
      <c r="E19" s="310" t="n">
        <v>10</v>
      </c>
      <c r="F19" s="310" t="n">
        <v>13</v>
      </c>
      <c r="G19" s="310" t="n">
        <v>32</v>
      </c>
      <c r="H19" s="310" t="n">
        <v>23</v>
      </c>
      <c r="I19" s="130">
        <f>365/C19</f>
        <v/>
      </c>
      <c r="J19" s="130">
        <f>E19*D19</f>
        <v/>
      </c>
      <c r="K19" s="130">
        <f>I19*E19*D19</f>
        <v/>
      </c>
    </row>
    <row r="20">
      <c r="A20" t="inlineStr">
        <is>
          <t>Lettuce</t>
        </is>
      </c>
      <c r="B20" s="106" t="inlineStr">
        <is>
          <t>Lactuca sativa</t>
        </is>
      </c>
      <c r="C20" s="310" t="n">
        <v>35</v>
      </c>
      <c r="D20" s="310" t="n">
        <v>25</v>
      </c>
      <c r="E20" s="208" t="n">
        <v>0.2</v>
      </c>
      <c r="F20" s="310" t="n">
        <v>7</v>
      </c>
      <c r="G20" s="310" t="n">
        <v>24</v>
      </c>
      <c r="H20" s="310" t="n">
        <v>18</v>
      </c>
      <c r="I20" s="130">
        <f>365/C20</f>
        <v/>
      </c>
      <c r="J20" s="130">
        <f>E20*D20</f>
        <v/>
      </c>
      <c r="K20" s="130">
        <f>I20*E20*D20</f>
        <v/>
      </c>
    </row>
    <row r="21">
      <c r="A21" t="inlineStr">
        <is>
          <t>Chicória</t>
        </is>
      </c>
      <c r="B21" s="106" t="inlineStr">
        <is>
          <t>Cichorium intybus</t>
        </is>
      </c>
      <c r="C21" s="310" t="n">
        <v>28</v>
      </c>
      <c r="D21" s="310" t="n">
        <v>16</v>
      </c>
      <c r="E21" s="208" t="n">
        <v>0.13232</v>
      </c>
      <c r="F21" s="310" t="n">
        <v>7</v>
      </c>
      <c r="G21" s="310" t="n">
        <v>24</v>
      </c>
      <c r="H21" s="310" t="n">
        <v>18</v>
      </c>
      <c r="I21" s="130">
        <f>365/C21</f>
        <v/>
      </c>
      <c r="J21" s="130">
        <f>E21*D21</f>
        <v/>
      </c>
      <c r="K21" s="130">
        <f>I21*E21*D21</f>
        <v/>
      </c>
    </row>
    <row r="22">
      <c r="A22" t="inlineStr">
        <is>
          <t>Almeirão Pão de Açúcar</t>
        </is>
      </c>
      <c r="B22" s="106" t="inlineStr">
        <is>
          <t>Cichorium intybus</t>
        </is>
      </c>
      <c r="C22" s="310" t="n">
        <v>28</v>
      </c>
      <c r="D22" s="310" t="n">
        <v>16</v>
      </c>
      <c r="E22" s="208" t="n">
        <v>0.09816</v>
      </c>
      <c r="F22" s="310" t="n">
        <v>7</v>
      </c>
      <c r="G22" s="310" t="n">
        <v>24</v>
      </c>
      <c r="H22" s="310" t="n">
        <v>18</v>
      </c>
      <c r="I22" s="130">
        <f>365/C22</f>
        <v/>
      </c>
      <c r="J22" s="130">
        <f>E22*D22</f>
        <v/>
      </c>
      <c r="K22" s="130">
        <f>I22*E22*D22</f>
        <v/>
      </c>
    </row>
    <row r="23">
      <c r="A23" t="inlineStr">
        <is>
          <t>Almeirão Amargo</t>
        </is>
      </c>
      <c r="B23" s="106" t="inlineStr">
        <is>
          <t>Cichorium intybus</t>
        </is>
      </c>
      <c r="C23" s="310" t="n">
        <v>28</v>
      </c>
      <c r="D23" s="310" t="n">
        <v>16</v>
      </c>
      <c r="E23" s="208" t="n">
        <v>0.11576</v>
      </c>
      <c r="F23" s="310" t="n">
        <v>7</v>
      </c>
      <c r="G23" s="310" t="n">
        <v>24</v>
      </c>
      <c r="H23" s="310" t="n">
        <v>18</v>
      </c>
      <c r="I23" s="130">
        <f>365/C23</f>
        <v/>
      </c>
      <c r="J23" s="130">
        <f>E23*D23</f>
        <v/>
      </c>
      <c r="K23" s="130">
        <f>I23*E23*D23</f>
        <v/>
      </c>
    </row>
    <row r="24">
      <c r="A24" t="inlineStr">
        <is>
          <t>Espinafre</t>
        </is>
      </c>
      <c r="B24" s="106" t="inlineStr">
        <is>
          <t>Spinacia oleracea</t>
        </is>
      </c>
      <c r="C24" s="310" t="n">
        <v>28</v>
      </c>
      <c r="D24" s="310" t="n">
        <v>16</v>
      </c>
      <c r="E24" s="208" t="n">
        <v>0.07872</v>
      </c>
      <c r="F24" s="310" t="n">
        <v>7</v>
      </c>
      <c r="G24" s="310" t="n">
        <v>24</v>
      </c>
      <c r="H24" s="310" t="n">
        <v>18</v>
      </c>
      <c r="I24" s="130">
        <f>365/C24</f>
        <v/>
      </c>
      <c r="J24" s="130">
        <f>E24*D24</f>
        <v/>
      </c>
      <c r="K24" s="130">
        <f>I24*E24*D24</f>
        <v/>
      </c>
    </row>
    <row r="25">
      <c r="A25" t="inlineStr">
        <is>
          <t>Alface</t>
        </is>
      </c>
      <c r="B25" s="106" t="inlineStr">
        <is>
          <t>Lactuca sativa</t>
        </is>
      </c>
      <c r="C25" s="310" t="n">
        <v>28</v>
      </c>
      <c r="D25" s="310" t="n">
        <v>16</v>
      </c>
      <c r="E25" s="208" t="n">
        <v>0.07872</v>
      </c>
      <c r="F25" s="310" t="n">
        <v>7</v>
      </c>
      <c r="G25" s="310" t="n">
        <v>24</v>
      </c>
      <c r="H25" s="310" t="n">
        <v>18</v>
      </c>
      <c r="I25" s="130">
        <f>365/C25</f>
        <v/>
      </c>
      <c r="J25" s="130">
        <f>E25*D25</f>
        <v/>
      </c>
      <c r="K25" s="130">
        <f>I25*E25*D25</f>
        <v/>
      </c>
    </row>
    <row r="26">
      <c r="A26" t="inlineStr">
        <is>
          <t>Salsinha</t>
        </is>
      </c>
      <c r="B26" s="106" t="inlineStr">
        <is>
          <t>Petroselinum crispum</t>
        </is>
      </c>
      <c r="C26" s="310" t="n">
        <v>28</v>
      </c>
      <c r="D26" s="310" t="n">
        <v>16</v>
      </c>
      <c r="E26" s="208" t="n">
        <v>0.03587</v>
      </c>
      <c r="F26" s="310" t="n">
        <v>7</v>
      </c>
      <c r="G26" s="310" t="n">
        <v>24</v>
      </c>
      <c r="H26" s="310" t="n">
        <v>18</v>
      </c>
      <c r="I26" s="130">
        <f>365/C26</f>
        <v/>
      </c>
      <c r="J26" s="130">
        <f>E26*D26</f>
        <v/>
      </c>
      <c r="K26" s="130">
        <f>I26*E26*D26</f>
        <v/>
      </c>
    </row>
    <row r="27">
      <c r="A27" t="inlineStr">
        <is>
          <t>Manjericão</t>
        </is>
      </c>
      <c r="B27" s="106" t="inlineStr">
        <is>
          <t>Ocimum basilicum</t>
        </is>
      </c>
      <c r="C27" s="310" t="n">
        <v>28</v>
      </c>
      <c r="D27" s="310" t="n">
        <v>16</v>
      </c>
      <c r="E27" s="208" t="n">
        <v>0.04206</v>
      </c>
      <c r="F27" s="310" t="n">
        <v>7</v>
      </c>
      <c r="G27" s="310" t="n">
        <v>24</v>
      </c>
      <c r="H27" s="310" t="n">
        <v>18</v>
      </c>
      <c r="I27" s="130">
        <f>365/C27</f>
        <v/>
      </c>
      <c r="J27" s="130">
        <f>E27*D27</f>
        <v/>
      </c>
      <c r="K27" s="130">
        <f>I27*E27*D27</f>
        <v/>
      </c>
    </row>
    <row r="28">
      <c r="A28" t="inlineStr">
        <is>
          <t>Agrião</t>
        </is>
      </c>
      <c r="B28" s="106" t="inlineStr">
        <is>
          <t>Nasturtium officinale</t>
        </is>
      </c>
      <c r="C28" s="310" t="n">
        <v>28</v>
      </c>
      <c r="D28" s="310" t="n">
        <v>16</v>
      </c>
      <c r="E28" s="208" t="n">
        <v>0.07368999999999999</v>
      </c>
      <c r="F28" s="310" t="n">
        <v>7</v>
      </c>
      <c r="G28" s="310" t="n">
        <v>24</v>
      </c>
      <c r="H28" s="310" t="n">
        <v>18</v>
      </c>
      <c r="I28" s="130">
        <f>365/C28</f>
        <v/>
      </c>
      <c r="J28" s="130">
        <f>E28*D28</f>
        <v/>
      </c>
      <c r="K28" s="130">
        <f>I28*E28*D28</f>
        <v/>
      </c>
    </row>
    <row r="29">
      <c r="A29" t="inlineStr">
        <is>
          <t>Cebolinha</t>
        </is>
      </c>
      <c r="B29" s="106" t="inlineStr">
        <is>
          <t>Allium schoenoprasum</t>
        </is>
      </c>
      <c r="C29" s="310" t="n">
        <v>28</v>
      </c>
      <c r="D29" s="310" t="n">
        <v>16</v>
      </c>
      <c r="E29" s="208" t="n">
        <v>0.02525</v>
      </c>
      <c r="F29" s="310" t="n">
        <v>7</v>
      </c>
      <c r="G29" s="310" t="n">
        <v>24</v>
      </c>
      <c r="H29" s="310" t="n">
        <v>18</v>
      </c>
      <c r="I29" s="130">
        <f>365/C29</f>
        <v/>
      </c>
      <c r="J29" s="130">
        <f>E29*D29</f>
        <v/>
      </c>
      <c r="K29" s="130">
        <f>I29*E29*D29</f>
        <v/>
      </c>
    </row>
    <row r="31">
      <c r="C31" s="310" t="n"/>
      <c r="D31" s="310" t="n"/>
      <c r="E31" s="310" t="n"/>
      <c r="F31" s="310" t="n"/>
      <c r="G31" s="310" t="n"/>
      <c r="H31" s="310" t="n"/>
    </row>
    <row r="32" ht="14.65" customHeight="1" s="313" thickBot="1">
      <c r="A32" s="132" t="inlineStr">
        <is>
          <t>Aquatic</t>
        </is>
      </c>
      <c r="B32" s="132" t="n"/>
      <c r="C32" s="134" t="n"/>
      <c r="D32" s="134" t="n"/>
      <c r="E32" s="134" t="n"/>
      <c r="F32" s="134" t="n"/>
      <c r="G32" s="134" t="n"/>
      <c r="H32" s="134" t="n"/>
    </row>
    <row r="33" ht="14.65" customHeight="1" s="313" thickTop="1">
      <c r="A33" t="inlineStr">
        <is>
          <t>Tilapia</t>
        </is>
      </c>
      <c r="C33" s="122" t="n">
        <v>180</v>
      </c>
      <c r="D33" s="310" t="n">
        <v>100</v>
      </c>
      <c r="E33" s="310" t="n">
        <v>0.6</v>
      </c>
      <c r="F33" s="310" t="n">
        <v>11</v>
      </c>
      <c r="G33" s="310" t="n">
        <v>35</v>
      </c>
      <c r="H33" s="310" t="n">
        <v>29</v>
      </c>
    </row>
    <row r="34">
      <c r="A34" t="inlineStr">
        <is>
          <t>Trout</t>
        </is>
      </c>
      <c r="C34" s="122" t="n">
        <v>365</v>
      </c>
      <c r="D34" s="122" t="n">
        <v>22</v>
      </c>
      <c r="E34" s="329" t="n">
        <v>0.5</v>
      </c>
      <c r="F34" s="122" t="n">
        <v>0</v>
      </c>
      <c r="G34" s="122" t="n">
        <v>21</v>
      </c>
      <c r="H34" s="122" t="n">
        <v>14</v>
      </c>
    </row>
    <row r="35">
      <c r="C35" s="5" t="n"/>
      <c r="D35" s="5" t="n"/>
      <c r="E35" s="5" t="n"/>
      <c r="F35" s="5" t="n"/>
      <c r="G35" s="5" t="n"/>
      <c r="H35" s="5" t="n"/>
    </row>
    <row r="36" ht="14.65" customHeight="1" s="313" thickBot="1">
      <c r="A36" s="132" t="inlineStr">
        <is>
          <t>Microorganisms</t>
        </is>
      </c>
      <c r="B36" s="132" t="n"/>
      <c r="C36" s="134" t="n"/>
      <c r="D36" s="134" t="n"/>
      <c r="E36" s="134" t="n"/>
      <c r="F36" s="134" t="n"/>
      <c r="G36" s="134" t="n"/>
      <c r="H36" s="134" t="n"/>
    </row>
    <row r="37" ht="14.65" customHeight="1" s="313" thickTop="1">
      <c r="A37" t="inlineStr">
        <is>
          <t>Bacteria, etc.</t>
        </is>
      </c>
      <c r="C37" s="122" t="n"/>
      <c r="D37" s="310" t="n"/>
      <c r="E37" s="310" t="n"/>
      <c r="F37" s="310" t="n">
        <v>10</v>
      </c>
      <c r="G37" s="310" t="n">
        <v>49</v>
      </c>
      <c r="H37" s="310" t="n">
        <v>27</v>
      </c>
    </row>
    <row r="38">
      <c r="C38" s="122" t="n"/>
      <c r="D38" s="310" t="n"/>
      <c r="E38" s="310" t="n"/>
      <c r="F38" s="310" t="n"/>
      <c r="G38" s="310" t="n"/>
      <c r="H38" s="310" t="n"/>
      <c r="I38" s="310" t="n"/>
    </row>
    <row r="39" ht="20.25" customHeight="1" s="313">
      <c r="A39" s="298" t="inlineStr">
        <is>
          <t>SYSTEM CONTROL</t>
        </is>
      </c>
      <c r="B39" s="298" t="n"/>
      <c r="C39" s="272" t="n"/>
      <c r="D39" s="272" t="n"/>
      <c r="E39" s="272" t="n"/>
      <c r="F39" s="272" t="n"/>
      <c r="G39" s="272" t="n"/>
      <c r="H39" s="272" t="n"/>
      <c r="I39" s="272" t="n"/>
      <c r="J39" s="272" t="n"/>
      <c r="K39" s="272" t="n"/>
      <c r="L39" s="272" t="n"/>
      <c r="M39" s="272" t="n"/>
      <c r="N39" s="272" t="n"/>
      <c r="O39" s="272" t="n"/>
      <c r="P39" s="272" t="n"/>
      <c r="Q39" s="272" t="n"/>
      <c r="R39" s="272" t="n"/>
    </row>
    <row r="40">
      <c r="A40" s="2" t="inlineStr">
        <is>
          <t>Temperature</t>
        </is>
      </c>
      <c r="B40" s="2" t="n"/>
    </row>
    <row r="41">
      <c r="A41" t="inlineStr">
        <is>
          <t>Tank size (mass in kg)</t>
        </is>
      </c>
      <c r="C41" s="127" t="n">
        <v>1000</v>
      </c>
      <c r="D41" t="inlineStr">
        <is>
          <t>kg of water</t>
        </is>
      </c>
      <c r="E41" t="inlineStr">
        <is>
          <t xml:space="preserve">Energy to heat </t>
        </is>
      </c>
      <c r="G41" t="inlineStr">
        <is>
          <t>Q=m⋅c⋅ΔT</t>
        </is>
      </c>
    </row>
    <row r="42">
      <c r="A42" t="inlineStr">
        <is>
          <t>Water c (specific heat capacity)</t>
        </is>
      </c>
      <c r="C42" s="127" t="n">
        <v>4186</v>
      </c>
      <c r="D42" t="inlineStr">
        <is>
          <t>𝐽
/
(
𝑘
𝑔
⋅
𝐾
)</t>
        </is>
      </c>
      <c r="O42" t="inlineStr">
        <is>
          <t>Temperature adjustment</t>
        </is>
      </c>
    </row>
    <row r="43">
      <c r="A43" t="inlineStr">
        <is>
          <t>U = overall heat transfer coefficient (W/m²·K)</t>
        </is>
      </c>
      <c r="C43" s="208">
        <f>(5+0.5)/2</f>
        <v/>
      </c>
      <c r="D43" t="inlineStr">
        <is>
          <t>Poor insulation (~5W/m²K) to Good insulation (~0.5W/m²K)</t>
        </is>
      </c>
      <c r="E43" t="inlineStr">
        <is>
          <t>Energy to maintain</t>
        </is>
      </c>
      <c r="G43" t="inlineStr">
        <is>
          <t>P=U⋅A⋅ΔT</t>
        </is>
      </c>
      <c r="O43" s="231">
        <f>SUM(D71:O72)</f>
        <v/>
      </c>
      <c r="P43" t="inlineStr">
        <is>
          <t>kWh/year</t>
        </is>
      </c>
    </row>
    <row r="44">
      <c r="A44" s="234" t="inlineStr">
        <is>
          <t>COP (if Chiller, etc)</t>
        </is>
      </c>
      <c r="C44" s="208">
        <f>(2.5+4)/2</f>
        <v/>
      </c>
      <c r="O44" t="inlineStr">
        <is>
          <t>Water need</t>
        </is>
      </c>
    </row>
    <row r="45">
      <c r="A45" s="235" t="inlineStr">
        <is>
          <t>HEf = heat production (kJ/day)</t>
        </is>
      </c>
      <c r="B45" s="236" t="n"/>
      <c r="C45" s="237" t="n"/>
      <c r="D45" s="236" t="inlineStr">
        <is>
          <t>Biological load of stocking density</t>
        </is>
      </c>
      <c r="E45" s="236" t="n"/>
      <c r="F45" s="236" t="n"/>
      <c r="G45" s="236" t="inlineStr">
        <is>
          <t>HEf=0.04643⋅W0.7882⋅T1.837</t>
        </is>
      </c>
      <c r="H45" s="236" t="n"/>
      <c r="I45" s="236" t="n"/>
      <c r="J45" t="inlineStr">
        <is>
          <t>Feed based, O2 based or ignore?</t>
        </is>
      </c>
      <c r="K45" s="219" t="n"/>
      <c r="O45" s="231">
        <f>-SUM(D75:O75)</f>
        <v/>
      </c>
      <c r="P45" t="inlineStr">
        <is>
          <t>mm/year</t>
        </is>
      </c>
      <c r="Q45" s="231">
        <f>O45/1000*O4</f>
        <v/>
      </c>
      <c r="R45" t="inlineStr">
        <is>
          <t>m3/year</t>
        </is>
      </c>
    </row>
    <row r="46">
      <c r="A46" t="inlineStr">
        <is>
          <t>Conversion 𝑘𝑊h to 𝐽</t>
        </is>
      </c>
      <c r="C46" s="127" t="n">
        <v>3600000</v>
      </c>
    </row>
    <row r="48">
      <c r="A48" s="2" t="inlineStr">
        <is>
          <t>Water</t>
        </is>
      </c>
      <c r="C48" s="122" t="n"/>
      <c r="I48" s="219" t="n"/>
    </row>
    <row r="49">
      <c r="A49" t="inlineStr">
        <is>
          <t>Purge percentage (pH control, salts, etc.)</t>
        </is>
      </c>
      <c r="C49" s="349" t="n">
        <v>0.03</v>
      </c>
    </row>
    <row r="50">
      <c r="A50" s="2" t="inlineStr">
        <is>
          <t>Open-water coefficient (Kp):</t>
        </is>
      </c>
      <c r="C50" s="208" t="n">
        <v>1</v>
      </c>
    </row>
    <row r="51">
      <c r="A51" s="233" t="inlineStr">
        <is>
          <t>Kc (Crop coefficient)</t>
        </is>
      </c>
      <c r="B51" s="233" t="n"/>
      <c r="C51" s="208" t="n">
        <v>1</v>
      </c>
      <c r="D51" s="107" t="n"/>
    </row>
    <row r="52">
      <c r="A52" s="233" t="inlineStr">
        <is>
          <t>Save Precipitation</t>
        </is>
      </c>
      <c r="B52" s="233" t="n"/>
      <c r="C52" s="122" t="n">
        <v>1</v>
      </c>
      <c r="D52" s="107" t="inlineStr">
        <is>
          <t>1 - yes, 0 - no</t>
        </is>
      </c>
    </row>
    <row r="53">
      <c r="A53" s="233" t="n"/>
      <c r="B53" s="233" t="n"/>
      <c r="C53" s="122" t="n"/>
      <c r="D53" s="107" t="n"/>
    </row>
    <row r="54">
      <c r="A54" s="233" t="n"/>
      <c r="B54" s="233" t="n"/>
      <c r="C54" s="208" t="n"/>
      <c r="D54" s="107" t="n"/>
    </row>
    <row r="55">
      <c r="B55" s="224">
        <f>Location_Data!B1</f>
        <v/>
      </c>
      <c r="D55" s="350" t="n">
        <v>46023</v>
      </c>
      <c r="E55" s="350" t="n">
        <v>46054</v>
      </c>
      <c r="F55" s="350" t="n">
        <v>46082</v>
      </c>
      <c r="G55" s="350" t="n">
        <v>46113</v>
      </c>
      <c r="H55" s="350" t="n">
        <v>46143</v>
      </c>
      <c r="I55" s="350" t="n">
        <v>46174</v>
      </c>
      <c r="J55" s="350" t="n">
        <v>46204</v>
      </c>
      <c r="K55" s="350" t="n">
        <v>46235</v>
      </c>
      <c r="L55" s="350" t="n">
        <v>46266</v>
      </c>
      <c r="M55" s="350" t="n">
        <v>46296</v>
      </c>
      <c r="N55" s="350" t="n">
        <v>46327</v>
      </c>
      <c r="O55" s="350" t="n">
        <v>46357</v>
      </c>
    </row>
    <row r="56">
      <c r="A56" t="inlineStr">
        <is>
          <t>Endeavor Location</t>
        </is>
      </c>
      <c r="B56" t="inlineStr">
        <is>
          <t>Mean Temp</t>
        </is>
      </c>
      <c r="C56" t="inlineStr">
        <is>
          <t>°C</t>
        </is>
      </c>
      <c r="D56" s="351">
        <f>Location_Data!C7</f>
        <v/>
      </c>
      <c r="E56" s="351">
        <f>Location_Data!C8</f>
        <v/>
      </c>
      <c r="F56" s="351">
        <f>Location_Data!C9</f>
        <v/>
      </c>
      <c r="G56" s="351">
        <f>Location_Data!C10</f>
        <v/>
      </c>
      <c r="H56" s="351">
        <f>Location_Data!C11</f>
        <v/>
      </c>
      <c r="I56" s="351">
        <f>Location_Data!C12</f>
        <v/>
      </c>
      <c r="J56" s="351">
        <f>Location_Data!C13</f>
        <v/>
      </c>
      <c r="K56" s="351">
        <f>Location_Data!C14</f>
        <v/>
      </c>
      <c r="L56" s="351">
        <f>Location_Data!C15</f>
        <v/>
      </c>
      <c r="M56" s="351">
        <f>Location_Data!C16</f>
        <v/>
      </c>
      <c r="N56" s="351">
        <f>Location_Data!C17</f>
        <v/>
      </c>
      <c r="O56" s="351">
        <f>Location_Data!C18</f>
        <v/>
      </c>
    </row>
    <row r="57">
      <c r="B57" t="inlineStr">
        <is>
          <t>Precipitation</t>
        </is>
      </c>
      <c r="C57" t="inlineStr">
        <is>
          <t>mm</t>
        </is>
      </c>
      <c r="D57" s="351">
        <f>Location_Data!E7</f>
        <v/>
      </c>
      <c r="E57" s="351">
        <f>Location_Data!E8</f>
        <v/>
      </c>
      <c r="F57" s="351">
        <f>Location_Data!E9</f>
        <v/>
      </c>
      <c r="G57" s="351">
        <f>Location_Data!E10</f>
        <v/>
      </c>
      <c r="H57" s="351">
        <f>Location_Data!E11</f>
        <v/>
      </c>
      <c r="I57" s="351">
        <f>Location_Data!E12</f>
        <v/>
      </c>
      <c r="J57" s="351">
        <f>Location_Data!E13</f>
        <v/>
      </c>
      <c r="K57" s="351">
        <f>Location_Data!E14</f>
        <v/>
      </c>
      <c r="L57" s="351">
        <f>Location_Data!E15</f>
        <v/>
      </c>
      <c r="M57" s="351">
        <f>Location_Data!E16</f>
        <v/>
      </c>
      <c r="N57" s="351">
        <f>Location_Data!E17</f>
        <v/>
      </c>
      <c r="O57" s="351">
        <f>Location_Data!E18</f>
        <v/>
      </c>
    </row>
    <row r="58">
      <c r="B58" t="inlineStr">
        <is>
          <t>ET</t>
        </is>
      </c>
      <c r="C58" t="inlineStr">
        <is>
          <t>mm</t>
        </is>
      </c>
      <c r="D58" s="351">
        <f>Location_Data!F7</f>
        <v/>
      </c>
      <c r="E58" s="351">
        <f>Location_Data!F8</f>
        <v/>
      </c>
      <c r="F58" s="351">
        <f>Location_Data!F9</f>
        <v/>
      </c>
      <c r="G58" s="351">
        <f>Location_Data!F10</f>
        <v/>
      </c>
      <c r="H58" s="351">
        <f>Location_Data!F11</f>
        <v/>
      </c>
      <c r="I58" s="351">
        <f>Location_Data!F12</f>
        <v/>
      </c>
      <c r="J58" s="351">
        <f>Location_Data!F13</f>
        <v/>
      </c>
      <c r="K58" s="351">
        <f>Location_Data!F14</f>
        <v/>
      </c>
      <c r="L58" s="351">
        <f>Location_Data!F15</f>
        <v/>
      </c>
      <c r="M58" s="351">
        <f>Location_Data!F16</f>
        <v/>
      </c>
      <c r="N58" s="351">
        <f>Location_Data!F17</f>
        <v/>
      </c>
      <c r="O58" s="351">
        <f>Location_Data!F18</f>
        <v/>
      </c>
    </row>
    <row r="59">
      <c r="A59" t="inlineStr">
        <is>
          <t>Fish</t>
        </is>
      </c>
      <c r="B59" t="inlineStr">
        <is>
          <t>Temp Min</t>
        </is>
      </c>
      <c r="C59" t="inlineStr">
        <is>
          <t>°C</t>
        </is>
      </c>
      <c r="D59" s="351">
        <f>F17</f>
        <v/>
      </c>
      <c r="E59" s="351">
        <f>D59</f>
        <v/>
      </c>
      <c r="F59" s="351">
        <f>E59</f>
        <v/>
      </c>
      <c r="G59" s="351">
        <f>F59</f>
        <v/>
      </c>
      <c r="H59" s="351">
        <f>G59</f>
        <v/>
      </c>
      <c r="I59" s="351">
        <f>H59</f>
        <v/>
      </c>
      <c r="J59" s="351">
        <f>I59</f>
        <v/>
      </c>
      <c r="K59" s="351">
        <f>J59</f>
        <v/>
      </c>
      <c r="L59" s="351">
        <f>K59</f>
        <v/>
      </c>
      <c r="M59" s="351">
        <f>L59</f>
        <v/>
      </c>
      <c r="N59" s="351">
        <f>M59</f>
        <v/>
      </c>
      <c r="O59" s="351">
        <f>N59</f>
        <v/>
      </c>
    </row>
    <row r="60">
      <c r="A60" s="130">
        <f>CHOSEN_FISH</f>
        <v/>
      </c>
      <c r="B60" t="inlineStr">
        <is>
          <t>Temp Max</t>
        </is>
      </c>
      <c r="C60" t="inlineStr">
        <is>
          <t>°C</t>
        </is>
      </c>
      <c r="D60" s="351">
        <f>G17</f>
        <v/>
      </c>
      <c r="E60" s="351">
        <f>D60</f>
        <v/>
      </c>
      <c r="F60" s="351">
        <f>E60</f>
        <v/>
      </c>
      <c r="G60" s="351">
        <f>F60</f>
        <v/>
      </c>
      <c r="H60" s="351">
        <f>G60</f>
        <v/>
      </c>
      <c r="I60" s="351">
        <f>H60</f>
        <v/>
      </c>
      <c r="J60" s="351">
        <f>I60</f>
        <v/>
      </c>
      <c r="K60" s="351">
        <f>J60</f>
        <v/>
      </c>
      <c r="L60" s="351">
        <f>K60</f>
        <v/>
      </c>
      <c r="M60" s="351">
        <f>L60</f>
        <v/>
      </c>
      <c r="N60" s="351">
        <f>M60</f>
        <v/>
      </c>
      <c r="O60" s="351">
        <f>N60</f>
        <v/>
      </c>
    </row>
    <row r="61">
      <c r="B61" t="inlineStr">
        <is>
          <t>Ideal</t>
        </is>
      </c>
      <c r="C61" t="inlineStr">
        <is>
          <t>°C</t>
        </is>
      </c>
      <c r="D61" s="351">
        <f>H17</f>
        <v/>
      </c>
      <c r="E61" s="351">
        <f>D61</f>
        <v/>
      </c>
      <c r="F61" s="351">
        <f>E61</f>
        <v/>
      </c>
      <c r="G61" s="351">
        <f>F61</f>
        <v/>
      </c>
      <c r="H61" s="351">
        <f>G61</f>
        <v/>
      </c>
      <c r="I61" s="351">
        <f>H61</f>
        <v/>
      </c>
      <c r="J61" s="351">
        <f>I61</f>
        <v/>
      </c>
      <c r="K61" s="351">
        <f>J61</f>
        <v/>
      </c>
      <c r="L61" s="351">
        <f>K61</f>
        <v/>
      </c>
      <c r="M61" s="351">
        <f>L61</f>
        <v/>
      </c>
      <c r="N61" s="351">
        <f>M61</f>
        <v/>
      </c>
      <c r="O61" s="351">
        <f>N61</f>
        <v/>
      </c>
    </row>
    <row r="62">
      <c r="A62" t="inlineStr">
        <is>
          <t>Microorganisms</t>
        </is>
      </c>
      <c r="B62" t="inlineStr">
        <is>
          <t>Temp Min</t>
        </is>
      </c>
      <c r="C62" t="inlineStr">
        <is>
          <t>°C</t>
        </is>
      </c>
      <c r="D62" s="351">
        <f>F37</f>
        <v/>
      </c>
      <c r="E62" s="351">
        <f>D62</f>
        <v/>
      </c>
      <c r="F62" s="351">
        <f>E62</f>
        <v/>
      </c>
      <c r="G62" s="351">
        <f>F62</f>
        <v/>
      </c>
      <c r="H62" s="351">
        <f>G62</f>
        <v/>
      </c>
      <c r="I62" s="351">
        <f>H62</f>
        <v/>
      </c>
      <c r="J62" s="351">
        <f>I62</f>
        <v/>
      </c>
      <c r="K62" s="351">
        <f>J62</f>
        <v/>
      </c>
      <c r="L62" s="351">
        <f>K62</f>
        <v/>
      </c>
      <c r="M62" s="351">
        <f>L62</f>
        <v/>
      </c>
      <c r="N62" s="351">
        <f>M62</f>
        <v/>
      </c>
      <c r="O62" s="351">
        <f>N62</f>
        <v/>
      </c>
    </row>
    <row r="63">
      <c r="B63" t="inlineStr">
        <is>
          <t>Temp Max</t>
        </is>
      </c>
      <c r="C63" t="inlineStr">
        <is>
          <t>°C</t>
        </is>
      </c>
      <c r="D63" s="351">
        <f>G37</f>
        <v/>
      </c>
      <c r="E63" s="351">
        <f>D63</f>
        <v/>
      </c>
      <c r="F63" s="351">
        <f>E63</f>
        <v/>
      </c>
      <c r="G63" s="351">
        <f>F63</f>
        <v/>
      </c>
      <c r="H63" s="351">
        <f>G63</f>
        <v/>
      </c>
      <c r="I63" s="351">
        <f>H63</f>
        <v/>
      </c>
      <c r="J63" s="351">
        <f>I63</f>
        <v/>
      </c>
      <c r="K63" s="351">
        <f>J63</f>
        <v/>
      </c>
      <c r="L63" s="351">
        <f>K63</f>
        <v/>
      </c>
      <c r="M63" s="351">
        <f>L63</f>
        <v/>
      </c>
      <c r="N63" s="351">
        <f>M63</f>
        <v/>
      </c>
      <c r="O63" s="351">
        <f>N63</f>
        <v/>
      </c>
    </row>
    <row r="64">
      <c r="B64" t="inlineStr">
        <is>
          <t>Ideal</t>
        </is>
      </c>
      <c r="C64" t="inlineStr">
        <is>
          <t>°C</t>
        </is>
      </c>
      <c r="D64" s="351">
        <f>H37</f>
        <v/>
      </c>
      <c r="E64" s="351">
        <f>D64</f>
        <v/>
      </c>
      <c r="F64" s="351">
        <f>E64</f>
        <v/>
      </c>
      <c r="G64" s="351">
        <f>F64</f>
        <v/>
      </c>
      <c r="H64" s="351">
        <f>G64</f>
        <v/>
      </c>
      <c r="I64" s="351">
        <f>H64</f>
        <v/>
      </c>
      <c r="J64" s="351">
        <f>I64</f>
        <v/>
      </c>
      <c r="K64" s="351">
        <f>J64</f>
        <v/>
      </c>
      <c r="L64" s="351">
        <f>K64</f>
        <v/>
      </c>
      <c r="M64" s="351">
        <f>L64</f>
        <v/>
      </c>
      <c r="N64" s="351">
        <f>M64</f>
        <v/>
      </c>
      <c r="O64" s="351">
        <f>N64</f>
        <v/>
      </c>
    </row>
    <row r="65">
      <c r="A65" t="inlineStr">
        <is>
          <t>Greens</t>
        </is>
      </c>
      <c r="B65" t="inlineStr">
        <is>
          <t>Temp Min</t>
        </is>
      </c>
      <c r="C65" t="inlineStr">
        <is>
          <t>°C</t>
        </is>
      </c>
      <c r="D65" s="351">
        <f>F14</f>
        <v/>
      </c>
      <c r="E65" s="351">
        <f>D65</f>
        <v/>
      </c>
      <c r="F65" s="351">
        <f>E65</f>
        <v/>
      </c>
      <c r="G65" s="351">
        <f>F65</f>
        <v/>
      </c>
      <c r="H65" s="351">
        <f>G65</f>
        <v/>
      </c>
      <c r="I65" s="351">
        <f>H65</f>
        <v/>
      </c>
      <c r="J65" s="351">
        <f>I65</f>
        <v/>
      </c>
      <c r="K65" s="351">
        <f>J65</f>
        <v/>
      </c>
      <c r="L65" s="351">
        <f>K65</f>
        <v/>
      </c>
      <c r="M65" s="351">
        <f>L65</f>
        <v/>
      </c>
      <c r="N65" s="351">
        <f>M65</f>
        <v/>
      </c>
      <c r="O65" s="351">
        <f>N65</f>
        <v/>
      </c>
    </row>
    <row r="66">
      <c r="A66" s="130">
        <f>CHOSEN_GREEN</f>
        <v/>
      </c>
      <c r="B66" t="inlineStr">
        <is>
          <t>Temp Max</t>
        </is>
      </c>
      <c r="C66" t="inlineStr">
        <is>
          <t>°C</t>
        </is>
      </c>
      <c r="D66" s="351">
        <f>G14</f>
        <v/>
      </c>
      <c r="E66" s="351">
        <f>D66</f>
        <v/>
      </c>
      <c r="F66" s="351">
        <f>E66</f>
        <v/>
      </c>
      <c r="G66" s="351">
        <f>F66</f>
        <v/>
      </c>
      <c r="H66" s="351">
        <f>G66</f>
        <v/>
      </c>
      <c r="I66" s="351">
        <f>H66</f>
        <v/>
      </c>
      <c r="J66" s="351">
        <f>I66</f>
        <v/>
      </c>
      <c r="K66" s="351">
        <f>J66</f>
        <v/>
      </c>
      <c r="L66" s="351">
        <f>K66</f>
        <v/>
      </c>
      <c r="M66" s="351">
        <f>L66</f>
        <v/>
      </c>
      <c r="N66" s="351">
        <f>M66</f>
        <v/>
      </c>
      <c r="O66" s="351">
        <f>N66</f>
        <v/>
      </c>
    </row>
    <row r="67">
      <c r="B67" t="inlineStr">
        <is>
          <t>Ideal</t>
        </is>
      </c>
      <c r="C67" t="inlineStr">
        <is>
          <t>°C</t>
        </is>
      </c>
      <c r="D67" s="351">
        <f>H14</f>
        <v/>
      </c>
      <c r="E67" s="351">
        <f>D67</f>
        <v/>
      </c>
      <c r="F67" s="351">
        <f>E67</f>
        <v/>
      </c>
      <c r="G67" s="351">
        <f>F67</f>
        <v/>
      </c>
      <c r="H67" s="351">
        <f>G67</f>
        <v/>
      </c>
      <c r="I67" s="351">
        <f>H67</f>
        <v/>
      </c>
      <c r="J67" s="351">
        <f>I67</f>
        <v/>
      </c>
      <c r="K67" s="351">
        <f>J67</f>
        <v/>
      </c>
      <c r="L67" s="351">
        <f>K67</f>
        <v/>
      </c>
      <c r="M67" s="351">
        <f>L67</f>
        <v/>
      </c>
      <c r="N67" s="351">
        <f>M67</f>
        <v/>
      </c>
      <c r="O67" s="351">
        <f>N67</f>
        <v/>
      </c>
    </row>
    <row r="68">
      <c r="A68" s="129" t="inlineStr">
        <is>
          <t>Temperature Adjustment</t>
        </is>
      </c>
      <c r="B68" t="inlineStr">
        <is>
          <t>Ideal</t>
        </is>
      </c>
      <c r="C68" t="inlineStr">
        <is>
          <t>°C</t>
        </is>
      </c>
      <c r="D68" s="352">
        <f>IF(AVERAGE(D67,D64,D61)&gt;MAX(D60,D63,D66),MAX(D60,D63,D66),IF(AVERAGE(D67,D64,D61)&lt;MIN(D59,D62,D65),MIN(D59,D62,D65),AVERAGE(D67,D64,D61)))</f>
        <v/>
      </c>
      <c r="E68" s="352">
        <f>D68</f>
        <v/>
      </c>
      <c r="F68" s="352">
        <f>E68</f>
        <v/>
      </c>
      <c r="G68" s="352">
        <f>F68</f>
        <v/>
      </c>
      <c r="H68" s="352">
        <f>G68</f>
        <v/>
      </c>
      <c r="I68" s="352">
        <f>H68</f>
        <v/>
      </c>
      <c r="J68" s="352">
        <f>I68</f>
        <v/>
      </c>
      <c r="K68" s="352">
        <f>J68</f>
        <v/>
      </c>
      <c r="L68" s="352">
        <f>K68</f>
        <v/>
      </c>
      <c r="M68" s="352">
        <f>L68</f>
        <v/>
      </c>
      <c r="N68" s="352">
        <f>M68</f>
        <v/>
      </c>
      <c r="O68" s="352">
        <f>N68</f>
        <v/>
      </c>
    </row>
    <row r="69">
      <c r="B69" t="inlineStr">
        <is>
          <t>Necessary adjustment</t>
        </is>
      </c>
      <c r="C69" t="inlineStr">
        <is>
          <t>°C</t>
        </is>
      </c>
      <c r="D69" s="352">
        <f>D68-D56</f>
        <v/>
      </c>
      <c r="E69" s="352">
        <f>E68-E56</f>
        <v/>
      </c>
      <c r="F69" s="352">
        <f>F68-F56</f>
        <v/>
      </c>
      <c r="G69" s="352">
        <f>G68-G56</f>
        <v/>
      </c>
      <c r="H69" s="352">
        <f>H68-H56</f>
        <v/>
      </c>
      <c r="I69" s="352">
        <f>I68-I56</f>
        <v/>
      </c>
      <c r="J69" s="352">
        <f>J68-J56</f>
        <v/>
      </c>
      <c r="K69" s="352">
        <f>K68-K56</f>
        <v/>
      </c>
      <c r="L69" s="352">
        <f>L68-L56</f>
        <v/>
      </c>
      <c r="M69" s="352">
        <f>M68-M56</f>
        <v/>
      </c>
      <c r="N69" s="352">
        <f>N68-N56</f>
        <v/>
      </c>
      <c r="O69" s="352">
        <f>O68-O56</f>
        <v/>
      </c>
      <c r="P69" s="231">
        <f t="array" ref="P69">SUMPRODUCT(ABS(D69:O69))</f>
        <v/>
      </c>
    </row>
    <row r="70">
      <c r="B70" s="86" t="inlineStr">
        <is>
          <t>Biological heating</t>
        </is>
      </c>
      <c r="C70" t="inlineStr">
        <is>
          <t>kWh/month</t>
        </is>
      </c>
      <c r="D70" s="230">
        <f>0.04643*$J$14^0.7882*25^1.837*DAY(EOMONTH(D55,0))/86.4/3600</f>
        <v/>
      </c>
      <c r="E70" s="230">
        <f>0.04643*$J$14^0.7882*25^1.837*DAY(EOMONTH(E55,0))/86.4/3600</f>
        <v/>
      </c>
      <c r="F70" s="230">
        <f>0.04643*$J$14^0.7882*25^1.837*DAY(EOMONTH(F55,0))/86.4/3600</f>
        <v/>
      </c>
      <c r="G70" s="230">
        <f>0.04643*$J$14^0.7882*25^1.837*DAY(EOMONTH(G55,0))/86.4/3600</f>
        <v/>
      </c>
      <c r="H70" s="230">
        <f>0.04643*$J$14^0.7882*25^1.837*DAY(EOMONTH(H55,0))/86.4/3600</f>
        <v/>
      </c>
      <c r="I70" s="230">
        <f>0.04643*$J$14^0.7882*25^1.837*DAY(EOMONTH(I55,0))/86.4/3600</f>
        <v/>
      </c>
      <c r="J70" s="230">
        <f>0.04643*$J$14^0.7882*25^1.837*DAY(EOMONTH(J55,0))/86.4/3600</f>
        <v/>
      </c>
      <c r="K70" s="230">
        <f>0.04643*$J$14^0.7882*25^1.837*DAY(EOMONTH(K55,0))/86.4/3600</f>
        <v/>
      </c>
      <c r="L70" s="230">
        <f>0.04643*$J$14^0.7882*25^1.837*DAY(EOMONTH(L55,0))/86.4/3600</f>
        <v/>
      </c>
      <c r="M70" s="230">
        <f>0.04643*$J$14^0.7882*25^1.837*DAY(EOMONTH(M55,0))/86.4/3600</f>
        <v/>
      </c>
      <c r="N70" s="230">
        <f>0.04643*$J$14^0.7882*25^1.837*DAY(EOMONTH(N55,0))/86.4/3600</f>
        <v/>
      </c>
      <c r="O70" s="230">
        <f>0.04643*$J$14^0.7882*25^1.837*DAY(EOMONTH(O55,0))/86.4/3600</f>
        <v/>
      </c>
    </row>
    <row r="71">
      <c r="B71" t="inlineStr">
        <is>
          <t>Heating</t>
        </is>
      </c>
      <c r="C71" t="inlineStr">
        <is>
          <t>kWh/month</t>
        </is>
      </c>
      <c r="D71" s="222">
        <f>IF(D69+D70&lt;0,0,$P$10*$C$41*$C$42*(ABS(D69+D70))/$C$46 + $C$43*$P$8*(ABS(D69+D70))*24*DAY(EOMONTH(D55,0))/$C$41)</f>
        <v/>
      </c>
      <c r="E71" s="222">
        <f>IF(E69+E70&lt;0,0,$P$10*$C$41*$C$42*(ABS(E69+E70))/$C$46 + $C$43*$P$8*(ABS(E69+E70))*24*DAY(EOMONTH(E55,0))/$C$41)</f>
        <v/>
      </c>
      <c r="F71" s="222">
        <f>IF(F69+F70&lt;0,0,$P$10*$C$41*$C$42*(ABS(F69+F70))/$C$46 + $C$43*$P$8*(ABS(F69+F70))*24*DAY(EOMONTH(F55,0))/$C$41)</f>
        <v/>
      </c>
      <c r="G71" s="222">
        <f>IF(G69+G70&lt;0,0,$P$10*$C$41*$C$42*(ABS(G69+G70))/$C$46 + $C$43*$P$8*(ABS(G69+G70))*24*DAY(EOMONTH(G55,0))/$C$41)</f>
        <v/>
      </c>
      <c r="H71" s="222">
        <f>IF(H69+H70&lt;0,0,$P$10*$C$41*$C$42*(ABS(H69+H70))/$C$46 + $C$43*$P$8*(ABS(H69+H70))*24*DAY(EOMONTH(H55,0))/$C$41)</f>
        <v/>
      </c>
      <c r="I71" s="222">
        <f>IF(I69+I70&lt;0,0,$P$10*$C$41*$C$42*(ABS(I69+I70))/$C$46 + $C$43*$P$8*(ABS(I69+I70))*24*DAY(EOMONTH(I55,0))/$C$41)</f>
        <v/>
      </c>
      <c r="J71" s="222">
        <f>IF(J69+J70&lt;0,0,$P$10*$C$41*$C$42*(ABS(J69+J70))/$C$46 + $C$43*$P$8*(ABS(J69+J70))*24*DAY(EOMONTH(J55,0))/$C$41)</f>
        <v/>
      </c>
      <c r="K71" s="222">
        <f>IF(K69+K70&lt;0,0,$P$10*$C$41*$C$42*(ABS(K69+K70))/$C$46 + $C$43*$P$8*(ABS(K69+K70))*24*DAY(EOMONTH(K55,0))/$C$41)</f>
        <v/>
      </c>
      <c r="L71" s="222">
        <f>IF(L69+L70&lt;0,0,$P$10*$C$41*$C$42*(ABS(L69+L70))/$C$46 + $C$43*$P$8*(ABS(L69+L70))*24*DAY(EOMONTH(L55,0))/$C$41)</f>
        <v/>
      </c>
      <c r="M71" s="222">
        <f>IF(M69+M70&lt;0,0,$P$10*$C$41*$C$42*(ABS(M69+M70))/$C$46 + $C$43*$P$8*(ABS(M69+M70))*24*DAY(EOMONTH(M55,0))/$C$41)</f>
        <v/>
      </c>
      <c r="N71" s="222">
        <f>IF(N69+N70&lt;0,0,$P$10*$C$41*$C$42*(ABS(N69+N70))/$C$46 + $C$43*$P$8*(ABS(N69+N70))*24*DAY(EOMONTH(N55,0))/$C$41)</f>
        <v/>
      </c>
      <c r="O71" s="222">
        <f>IF(O69+O70&lt;0,0,$P$10*$C$41*$C$42*(ABS(O69+O70))/$C$46 + $C$43*$P$8*(ABS(O69+O70))*24*DAY(EOMONTH(O55,0))/$C$41)</f>
        <v/>
      </c>
    </row>
    <row r="72">
      <c r="B72" t="inlineStr">
        <is>
          <t>Cooling</t>
        </is>
      </c>
      <c r="C72" t="inlineStr">
        <is>
          <t>kWh/month</t>
        </is>
      </c>
      <c r="D72" s="222">
        <f>IF(D69+D70&lt;0,($P$10*$C$41*$C$42*(ABS(D69+D70))/$C$46 + $C$43*$P$8*(ABS(D69+D70))*24*DAY(EOMONTH(D55,0))/$C$41)/$C$44,0)</f>
        <v/>
      </c>
      <c r="E72" s="222">
        <f>IF(E69+E70&lt;0,($P$10*$C$41*$C$42*(ABS(E69+E70))/$C$46 + $C$43*$P$8*(ABS(E69+E70))*24*DAY(EOMONTH(E55,0))/$C$41)/$C$44,0)</f>
        <v/>
      </c>
      <c r="F72" s="222">
        <f>IF(F69+F70&lt;0,($P$10*$C$41*$C$42*(ABS(F69+F70))/$C$46 + $C$43*$P$8*(ABS(F69+F70))*24*DAY(EOMONTH(F55,0))/$C$41)/$C$44,0)</f>
        <v/>
      </c>
      <c r="G72" s="222">
        <f>IF(G69+G70&lt;0,($P$10*$C$41*$C$42*(ABS(G69+G70))/$C$46 + $C$43*$P$8*(ABS(G69+G70))*24*DAY(EOMONTH(G55,0))/$C$41)/$C$44,0)</f>
        <v/>
      </c>
      <c r="H72" s="222">
        <f>IF(H69+H70&lt;0,($P$10*$C$41*$C$42*(ABS(H69+H70))/$C$46 + $C$43*$P$8*(ABS(H69+H70))*24*DAY(EOMONTH(H55,0))/$C$41)/$C$44,0)</f>
        <v/>
      </c>
      <c r="I72" s="222">
        <f>IF(I69+I70&lt;0,($P$10*$C$41*$C$42*(ABS(I69+I70))/$C$46 + $C$43*$P$8*(ABS(I69+I70))*24*DAY(EOMONTH(I55,0))/$C$41)/$C$44,0)</f>
        <v/>
      </c>
      <c r="J72" s="222">
        <f>IF(J69+J70&lt;0,($P$10*$C$41*$C$42*(ABS(J69+J70))/$C$46 + $C$43*$P$8*(ABS(J69+J70))*24*DAY(EOMONTH(J55,0))/$C$41)/$C$44,0)</f>
        <v/>
      </c>
      <c r="K72" s="222">
        <f>IF(K69+K70&lt;0,($P$10*$C$41*$C$42*(ABS(K69+K70))/$C$46 + $C$43*$P$8*(ABS(K69+K70))*24*DAY(EOMONTH(K55,0))/$C$41)/$C$44,0)</f>
        <v/>
      </c>
      <c r="L72" s="222">
        <f>IF(L69+L70&lt;0,($P$10*$C$41*$C$42*(ABS(L69+L70))/$C$46 + $C$43*$P$8*(ABS(L69+L70))*24*DAY(EOMONTH(L55,0))/$C$41)/$C$44,0)</f>
        <v/>
      </c>
      <c r="M72" s="222">
        <f>IF(M69+M70&lt;0,($P$10*$C$41*$C$42*(ABS(M69+M70))/$C$46 + $C$43*$P$8*(ABS(M69+M70))*24*DAY(EOMONTH(M55,0))/$C$41)/$C$44,0)</f>
        <v/>
      </c>
      <c r="N72" s="222">
        <f>IF(N69+N70&lt;0,($P$10*$C$41*$C$42*(ABS(N69+N70))/$C$46 + $C$43*$P$8*(ABS(N69+N70))*24*DAY(EOMONTH(N55,0))/$C$41)/$C$44,0)</f>
        <v/>
      </c>
      <c r="O72" s="222">
        <f>IF(O69+O70&lt;0,($P$10*$C$41*$C$42*(ABS(O69+O70))/$C$46 + $C$43*$P$8*(ABS(O69+O70))*24*DAY(EOMONTH(O55,0))/$C$41)/$C$44,0)</f>
        <v/>
      </c>
    </row>
    <row r="73">
      <c r="A73" t="inlineStr">
        <is>
          <t>Water necessary</t>
        </is>
      </c>
      <c r="B73" t="inlineStr">
        <is>
          <t>Out (ET, purge, constrols, etc.)</t>
        </is>
      </c>
      <c r="C73" t="inlineStr">
        <is>
          <t>mm</t>
        </is>
      </c>
      <c r="D73" s="222">
        <f>$P$10*$C$49+($P$4*D58*$C$51+$P$10*D58*$C$50)/1000</f>
        <v/>
      </c>
      <c r="E73" s="222">
        <f>$P$10*$C$49+($P$4*E58*$C$51+$P$10*E58*$C$50)/1000</f>
        <v/>
      </c>
      <c r="F73" s="222">
        <f>$P$10*$C$49+($P$4*F58*$C$51+$P$10*F58*$C$50)/1000</f>
        <v/>
      </c>
      <c r="G73" s="222">
        <f>$P$10*$C$49+($P$4*G58*$C$51+$P$10*G58*$C$50)/1000</f>
        <v/>
      </c>
      <c r="H73" s="222">
        <f>$P$10*$C$49+($P$4*H58*$C$51+$P$10*H58*$C$50)/1000</f>
        <v/>
      </c>
      <c r="I73" s="222">
        <f>$P$10*$C$49+($P$4*I58*$C$51+$P$10*I58*$C$50)/1000</f>
        <v/>
      </c>
      <c r="J73" s="222">
        <f>$P$10*$C$49+($P$4*J58*$C$51+$P$10*J58*$C$50)/1000</f>
        <v/>
      </c>
      <c r="K73" s="222">
        <f>$P$10*$C$49+($P$4*K58*$C$51+$P$10*K58*$C$50)/1000</f>
        <v/>
      </c>
      <c r="L73" s="222">
        <f>$P$10*$C$49+($P$4*L58*$C$51+$P$10*L58*$C$50)/1000</f>
        <v/>
      </c>
      <c r="M73" s="222">
        <f>$P$10*$C$49+($P$4*M58*$C$51+$P$10*M58*$C$50)/1000</f>
        <v/>
      </c>
      <c r="N73" s="222">
        <f>$P$10*$C$49+($P$4*N58*$C$51+$P$10*N58*$C$50)/1000</f>
        <v/>
      </c>
      <c r="O73" s="222">
        <f>$P$10*$C$49+($P$4*O58*$C$51+$P$10*O58*$C$50)/1000</f>
        <v/>
      </c>
    </row>
    <row r="74">
      <c r="B74" t="inlineStr">
        <is>
          <t>In (Precipitation, other)</t>
        </is>
      </c>
      <c r="C74" t="inlineStr">
        <is>
          <t>mm</t>
        </is>
      </c>
      <c r="D74" s="222">
        <f>D57</f>
        <v/>
      </c>
      <c r="E74" s="222">
        <f>E57</f>
        <v/>
      </c>
      <c r="F74" s="222">
        <f>F57</f>
        <v/>
      </c>
      <c r="G74" s="222">
        <f>G57</f>
        <v/>
      </c>
      <c r="H74" s="222">
        <f>H57</f>
        <v/>
      </c>
      <c r="I74" s="222">
        <f>I57</f>
        <v/>
      </c>
      <c r="J74" s="222">
        <f>J57</f>
        <v/>
      </c>
      <c r="K74" s="222">
        <f>K57</f>
        <v/>
      </c>
      <c r="L74" s="222">
        <f>L57</f>
        <v/>
      </c>
      <c r="M74" s="222">
        <f>M57</f>
        <v/>
      </c>
      <c r="N74" s="222">
        <f>N57</f>
        <v/>
      </c>
      <c r="O74" s="222">
        <f>O57</f>
        <v/>
      </c>
    </row>
    <row r="75">
      <c r="B75" t="inlineStr">
        <is>
          <t>Balance</t>
        </is>
      </c>
      <c r="C75" t="inlineStr">
        <is>
          <t>mm</t>
        </is>
      </c>
      <c r="D75" s="222">
        <f>D74*$C$52-D73</f>
        <v/>
      </c>
      <c r="E75" s="222">
        <f>E74*$C$52-E73</f>
        <v/>
      </c>
      <c r="F75" s="222">
        <f>F74*$C$52-F73</f>
        <v/>
      </c>
      <c r="G75" s="222">
        <f>G74*$C$52-G73</f>
        <v/>
      </c>
      <c r="H75" s="222">
        <f>H74*$C$52-H73</f>
        <v/>
      </c>
      <c r="I75" s="222">
        <f>I74*$C$52-I73</f>
        <v/>
      </c>
      <c r="J75" s="222">
        <f>J74*$C$52-J73</f>
        <v/>
      </c>
      <c r="K75" s="222">
        <f>K74*$C$52-K73</f>
        <v/>
      </c>
      <c r="L75" s="222">
        <f>L74*$C$52-L73</f>
        <v/>
      </c>
      <c r="M75" s="222">
        <f>M74*$C$52-M73</f>
        <v/>
      </c>
      <c r="N75" s="222">
        <f>N74*$C$52-N73</f>
        <v/>
      </c>
      <c r="O75" s="222">
        <f>O74*$C$52-O73</f>
        <v/>
      </c>
    </row>
  </sheetData>
  <mergeCells count="11">
    <mergeCell ref="G10:G12"/>
    <mergeCell ref="A4:B4"/>
    <mergeCell ref="K10:K12"/>
    <mergeCell ref="A68:A72"/>
    <mergeCell ref="F10:F12"/>
    <mergeCell ref="E10:E12"/>
    <mergeCell ref="H10:H12"/>
    <mergeCell ref="I10:I12"/>
    <mergeCell ref="C10:C12"/>
    <mergeCell ref="J10:J12"/>
    <mergeCell ref="D10:D12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tabColor rgb="FFFFC000"/>
    <outlinePr summaryBelow="1" summaryRight="1"/>
    <pageSetUpPr/>
  </sheetPr>
  <dimension ref="A1:U78"/>
  <sheetViews>
    <sheetView showGridLines="0" zoomScaleNormal="100"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F5" sqref="F5"/>
    </sheetView>
  </sheetViews>
  <sheetFormatPr baseColWidth="8" defaultRowHeight="14.25" outlineLevelRow="1"/>
  <cols>
    <col width="21.9296875" customWidth="1" style="313" min="1" max="1"/>
    <col width="13.6640625" bestFit="1" customWidth="1" style="313" min="2" max="2"/>
    <col width="14.796875" customWidth="1" style="313" min="3" max="3"/>
    <col width="15.86328125" customWidth="1" style="313" min="4" max="6"/>
    <col width="11.19921875" customWidth="1" style="313" min="7" max="7"/>
    <col width="12.796875" customWidth="1" style="313" min="8" max="8"/>
    <col width="13.6640625" bestFit="1" customWidth="1" style="313" min="9" max="9"/>
    <col width="5.46484375" customWidth="1" style="313" min="10" max="10"/>
    <col width="12.265625" customWidth="1" style="313" min="11" max="20"/>
    <col width="11.1328125" bestFit="1" customWidth="1" style="313" min="21" max="21"/>
  </cols>
  <sheetData>
    <row r="1" ht="18" customHeight="1" s="313">
      <c r="A1" s="85" t="inlineStr">
        <is>
          <t>INVESTMENTS</t>
        </is>
      </c>
      <c r="B1" s="86" t="n"/>
      <c r="C1" s="86" t="n"/>
      <c r="D1" s="86" t="n"/>
      <c r="E1" s="86" t="n"/>
      <c r="F1" s="86" t="n"/>
      <c r="G1" s="86" t="n"/>
      <c r="H1" s="86" t="n"/>
      <c r="I1" s="86" t="n"/>
      <c r="J1" s="86" t="n"/>
      <c r="K1" s="86" t="n"/>
      <c r="L1" s="86" t="n"/>
      <c r="M1" s="86" t="n"/>
      <c r="N1" s="86" t="n"/>
      <c r="O1" s="86" t="n"/>
      <c r="P1" s="86" t="n"/>
      <c r="Q1" s="86" t="n"/>
      <c r="R1" s="86" t="n"/>
      <c r="S1" s="86" t="n"/>
      <c r="T1" s="86" t="n"/>
      <c r="U1" s="86" t="n"/>
    </row>
    <row r="2" ht="18" customHeight="1" s="313">
      <c r="A2" s="213" t="inlineStr">
        <is>
          <t>RAS</t>
        </is>
      </c>
      <c r="B2" s="130">
        <f>System_Parameters!P8</f>
        <v/>
      </c>
      <c r="C2" t="inlineStr">
        <is>
          <t>m²</t>
        </is>
      </c>
    </row>
    <row r="3" ht="18" customHeight="1" s="313">
      <c r="B3" s="130">
        <f>System_Parameters!P10</f>
        <v/>
      </c>
      <c r="C3" t="inlineStr">
        <is>
          <t>m³</t>
        </is>
      </c>
    </row>
    <row r="4" ht="18" customHeight="1" s="313">
      <c r="B4" s="130">
        <f>System_Parameters!Q10</f>
        <v/>
      </c>
      <c r="C4" t="inlineStr">
        <is>
          <t>tanks</t>
        </is>
      </c>
      <c r="D4" s="353" t="n"/>
      <c r="E4" s="353" t="n"/>
      <c r="F4" s="78" t="inlineStr">
        <is>
          <t>Energy consumption</t>
        </is>
      </c>
      <c r="G4" s="353" t="n"/>
      <c r="H4" s="353" t="n"/>
      <c r="J4" s="116" t="inlineStr">
        <is>
          <t>Total Investment</t>
        </is>
      </c>
      <c r="K4" s="100">
        <f>SUM(K5:K7)</f>
        <v/>
      </c>
      <c r="L4" s="212">
        <f>SUM(L5:L7)</f>
        <v/>
      </c>
      <c r="M4" s="212">
        <f>SUM(M5:M7)</f>
        <v/>
      </c>
      <c r="N4" s="212">
        <f>SUM(N5:N7)</f>
        <v/>
      </c>
      <c r="O4" s="212">
        <f>SUM(O5:O7)</f>
        <v/>
      </c>
      <c r="P4" s="212">
        <f>SUM(P5:P7)</f>
        <v/>
      </c>
      <c r="Q4" s="212">
        <f>SUM(Q5:Q7)</f>
        <v/>
      </c>
      <c r="R4" s="212">
        <f>SUM(R5:R7)</f>
        <v/>
      </c>
      <c r="S4" s="212">
        <f>SUM(S5:S7)</f>
        <v/>
      </c>
      <c r="T4" s="212">
        <f>SUM(T5:T7)</f>
        <v/>
      </c>
      <c r="U4" s="212">
        <f>SUM(U5:U7)</f>
        <v/>
      </c>
    </row>
    <row r="5" ht="18" customHeight="1" s="313">
      <c r="A5" s="105" t="inlineStr">
        <is>
          <t>Hydroponics</t>
        </is>
      </c>
      <c r="B5" s="130">
        <f>System_Parameters!P4</f>
        <v/>
      </c>
      <c r="C5" t="inlineStr">
        <is>
          <t>m²</t>
        </is>
      </c>
      <c r="D5" s="353" t="n"/>
      <c r="E5" s="353" t="n"/>
      <c r="F5" s="130">
        <f>SUMPRODUCT(F11:F74,C11:C74)</f>
        <v/>
      </c>
      <c r="G5" s="353" t="n"/>
      <c r="H5" s="353" t="n"/>
      <c r="K5" s="20">
        <f>K9+K33+K49+K64+K73</f>
        <v/>
      </c>
      <c r="L5" s="20">
        <f>L9+L33+L49</f>
        <v/>
      </c>
      <c r="M5" s="20">
        <f>M9+M33+M49</f>
        <v/>
      </c>
      <c r="N5" s="20">
        <f>N9+N33+N49</f>
        <v/>
      </c>
      <c r="O5" s="20">
        <f>O9+O33+O49</f>
        <v/>
      </c>
      <c r="P5" s="20">
        <f>P9+P33+P49</f>
        <v/>
      </c>
      <c r="Q5" s="20">
        <f>Q9+Q33+Q49</f>
        <v/>
      </c>
      <c r="R5" s="20">
        <f>R9+R33+R49</f>
        <v/>
      </c>
      <c r="S5" s="20">
        <f>S9+S33+S49</f>
        <v/>
      </c>
      <c r="T5" s="20">
        <f>T9+T33+T49</f>
        <v/>
      </c>
      <c r="U5" s="20">
        <f>U9+U33+U49</f>
        <v/>
      </c>
    </row>
    <row r="6" ht="18" customHeight="1" s="313">
      <c r="A6" t="inlineStr">
        <is>
          <t>Maintenance Cost</t>
        </is>
      </c>
      <c r="B6" s="349" t="n">
        <v>0.01</v>
      </c>
      <c r="J6" s="105" t="inlineStr">
        <is>
          <t>Maintenance</t>
        </is>
      </c>
      <c r="K6" s="98">
        <f>MAINTENANCE_PERCENTAGE*K5</f>
        <v/>
      </c>
      <c r="L6" s="98">
        <f>MAINTENANCE_PERCENTAGE*L5</f>
        <v/>
      </c>
      <c r="M6" s="98">
        <f>MAINTENANCE_PERCENTAGE*M5</f>
        <v/>
      </c>
      <c r="N6" s="98">
        <f>MAINTENANCE_PERCENTAGE*N5</f>
        <v/>
      </c>
      <c r="O6" s="98">
        <f>MAINTENANCE_PERCENTAGE*O5</f>
        <v/>
      </c>
      <c r="P6" s="98">
        <f>MAINTENANCE_PERCENTAGE*P5</f>
        <v/>
      </c>
      <c r="Q6" s="98">
        <f>MAINTENANCE_PERCENTAGE*Q5</f>
        <v/>
      </c>
      <c r="R6" s="98">
        <f>MAINTENANCE_PERCENTAGE*R5</f>
        <v/>
      </c>
      <c r="S6" s="98">
        <f>MAINTENANCE_PERCENTAGE*S5</f>
        <v/>
      </c>
      <c r="T6" s="98">
        <f>MAINTENANCE_PERCENTAGE*T5</f>
        <v/>
      </c>
      <c r="U6" s="98">
        <f>MAINTENANCE_PERCENTAGE*U5</f>
        <v/>
      </c>
    </row>
    <row r="7" ht="18" customHeight="1" s="313">
      <c r="A7" t="inlineStr">
        <is>
          <t>Spare Parts Costs</t>
        </is>
      </c>
      <c r="B7" s="349" t="n">
        <v>0.025</v>
      </c>
      <c r="C7" s="116" t="n"/>
      <c r="G7" s="105" t="inlineStr">
        <is>
          <t>System productivity Factor</t>
        </is>
      </c>
      <c r="H7" s="275">
        <f>MAX(H10:H74)</f>
        <v/>
      </c>
      <c r="J7" s="105" t="inlineStr">
        <is>
          <t>Spare parts</t>
        </is>
      </c>
      <c r="K7" s="98">
        <f>($I9*K9+$I33*K33+$I49*K49)*PARTS_PERCENTAGE</f>
        <v/>
      </c>
      <c r="L7" s="98">
        <f>($I9*L9+$I33*L33+$I49*L49)*PARTS_PERCENTAGE</f>
        <v/>
      </c>
      <c r="M7" s="98">
        <f>($I9*M9+$I33*M33+$I49*M49)*PARTS_PERCENTAGE</f>
        <v/>
      </c>
      <c r="N7" s="98">
        <f>($I9*N9+$I33*N33+$I49*N49)*PARTS_PERCENTAGE</f>
        <v/>
      </c>
      <c r="O7" s="98">
        <f>($I9*O9+$I33*O33+$I49*O49)*PARTS_PERCENTAGE</f>
        <v/>
      </c>
      <c r="P7" s="98">
        <f>($I9*P9+$I33*P33+$I49*P49)*PARTS_PERCENTAGE</f>
        <v/>
      </c>
      <c r="Q7" s="98">
        <f>($I9*Q9+$I33*Q33+$I49*Q49)*PARTS_PERCENTAGE</f>
        <v/>
      </c>
      <c r="R7" s="98">
        <f>($I9*R9+$I33*R33+$I49*R49)*PARTS_PERCENTAGE</f>
        <v/>
      </c>
      <c r="S7" s="98">
        <f>($I9*S9+$I33*S33+$I49*S49)*PARTS_PERCENTAGE</f>
        <v/>
      </c>
      <c r="T7" s="98">
        <f>($I9*T9+$I33*T33+$I49*T49)*PARTS_PERCENTAGE</f>
        <v/>
      </c>
      <c r="U7" s="98">
        <f>($I9*U9+$I33*U33+$I49*U49)*PARTS_PERCENTAGE</f>
        <v/>
      </c>
    </row>
    <row r="8" ht="28.5" customHeight="1" s="313">
      <c r="A8" s="2" t="inlineStr">
        <is>
          <t>Equipment</t>
        </is>
      </c>
      <c r="B8" s="78" t="inlineStr">
        <is>
          <t>Cost</t>
        </is>
      </c>
      <c r="C8" s="5" t="inlineStr">
        <is>
          <t>User Choice</t>
        </is>
      </c>
      <c r="D8" s="78" t="inlineStr">
        <is>
          <t>Life-Span (years)</t>
        </is>
      </c>
      <c r="E8" s="78" t="inlineStr">
        <is>
          <t>Power (W)</t>
        </is>
      </c>
      <c r="F8" s="78" t="inlineStr">
        <is>
          <t>kWh/year</t>
        </is>
      </c>
      <c r="G8" s="250" t="inlineStr">
        <is>
          <t>Productivity Factor</t>
        </is>
      </c>
      <c r="H8" s="250" t="inlineStr">
        <is>
          <t>Activated Productivity?</t>
        </is>
      </c>
      <c r="I8" s="78" t="inlineStr">
        <is>
          <t>Spare Parts?</t>
        </is>
      </c>
      <c r="J8" s="204" t="inlineStr">
        <is>
          <t>Year</t>
        </is>
      </c>
      <c r="K8" s="5" t="n">
        <v>0</v>
      </c>
      <c r="L8" s="5" t="n">
        <v>1</v>
      </c>
      <c r="M8" s="5" t="n">
        <v>2</v>
      </c>
      <c r="N8" s="5" t="n">
        <v>3</v>
      </c>
      <c r="O8" s="5" t="n">
        <v>4</v>
      </c>
      <c r="P8" s="5" t="n">
        <v>5</v>
      </c>
      <c r="Q8" s="5" t="n">
        <v>6</v>
      </c>
      <c r="R8" s="5" t="n">
        <v>7</v>
      </c>
      <c r="S8" s="5" t="n">
        <v>8</v>
      </c>
      <c r="T8" s="5" t="n">
        <v>9</v>
      </c>
      <c r="U8" s="5" t="n">
        <v>10</v>
      </c>
    </row>
    <row r="9" ht="15.75" customHeight="1" s="313">
      <c r="A9" s="306" t="inlineStr">
        <is>
          <t>Recirculating Aquaculture System (RAS)</t>
        </is>
      </c>
      <c r="B9" s="205" t="n"/>
      <c r="C9" s="205" t="n"/>
      <c r="D9" s="202" t="n"/>
      <c r="E9" s="202" t="n"/>
      <c r="F9" s="202" t="n"/>
      <c r="G9" s="202" t="n"/>
      <c r="H9" s="202" t="n"/>
      <c r="I9" s="354">
        <f>SUMPRODUCT(C11:C31,I11:I31)/SUM(C11:C31)</f>
        <v/>
      </c>
      <c r="K9" s="212">
        <f>K10+K22</f>
        <v/>
      </c>
      <c r="L9" s="212">
        <f>L10+L22</f>
        <v/>
      </c>
      <c r="M9" s="212">
        <f>M10+M22</f>
        <v/>
      </c>
      <c r="N9" s="212">
        <f>N10+N22</f>
        <v/>
      </c>
      <c r="O9" s="212">
        <f>O10+O22</f>
        <v/>
      </c>
      <c r="P9" s="212">
        <f>P10+P22</f>
        <v/>
      </c>
      <c r="Q9" s="212">
        <f>Q10+Q22</f>
        <v/>
      </c>
      <c r="R9" s="212">
        <f>R10+R22</f>
        <v/>
      </c>
      <c r="S9" s="212">
        <f>S10+S22</f>
        <v/>
      </c>
      <c r="T9" s="212">
        <f>T10+T22</f>
        <v/>
      </c>
      <c r="U9" s="212">
        <f>U10+U22</f>
        <v/>
      </c>
    </row>
    <row r="10" ht="14.25" customHeight="1" s="313">
      <c r="A10" s="2" t="inlineStr">
        <is>
          <t>1/RAS enclosure</t>
        </is>
      </c>
      <c r="B10" s="5" t="n"/>
      <c r="C10" s="5" t="n"/>
      <c r="D10" s="5" t="n"/>
      <c r="E10" s="5" t="n"/>
      <c r="F10" s="5" t="n"/>
      <c r="G10" s="5" t="n"/>
      <c r="H10" s="5" t="n"/>
      <c r="K10" s="212">
        <f>SUM(K11:K21)</f>
        <v/>
      </c>
      <c r="L10" s="212">
        <f>SUM(L11:L21)</f>
        <v/>
      </c>
      <c r="M10" s="212">
        <f>SUM(M11:M21)</f>
        <v/>
      </c>
      <c r="N10" s="212">
        <f>SUM(N11:N21)</f>
        <v/>
      </c>
      <c r="O10" s="212">
        <f>SUM(O11:O21)</f>
        <v/>
      </c>
      <c r="P10" s="212">
        <f>SUM(P11:P21)</f>
        <v/>
      </c>
      <c r="Q10" s="212">
        <f>SUM(Q11:Q21)</f>
        <v/>
      </c>
      <c r="R10" s="212">
        <f>SUM(R11:R21)</f>
        <v/>
      </c>
      <c r="S10" s="212">
        <f>SUM(S11:S21)</f>
        <v/>
      </c>
      <c r="T10" s="212">
        <f>SUM(T11:T21)</f>
        <v/>
      </c>
      <c r="U10" s="212">
        <f>SUM(U11:U21)</f>
        <v/>
      </c>
    </row>
    <row r="11">
      <c r="A11" s="267" t="inlineStr">
        <is>
          <t>Biofilter</t>
        </is>
      </c>
      <c r="B11" s="310" t="n">
        <v>100</v>
      </c>
      <c r="C11" s="123" t="n">
        <v>1</v>
      </c>
      <c r="D11" s="310" t="n">
        <v>10</v>
      </c>
      <c r="E11" s="310" t="n"/>
      <c r="F11" s="130" t="n"/>
      <c r="G11" s="202" t="n"/>
      <c r="H11" s="202" t="n"/>
      <c r="I11" s="123" t="n">
        <v>0</v>
      </c>
      <c r="K11" s="98">
        <f>(MOD(K$8,$D11)=0)*$B11*$C11</f>
        <v/>
      </c>
      <c r="L11" s="98">
        <f>(MOD(L$8,$D11)=0)*$B11*$C11</f>
        <v/>
      </c>
      <c r="M11" s="98">
        <f>(MOD(M$8,$D11)=0)*$B11*$C11</f>
        <v/>
      </c>
      <c r="N11" s="98">
        <f>(MOD(N$8,$D11)=0)*$B11*$C11</f>
        <v/>
      </c>
      <c r="O11" s="98">
        <f>(MOD(O$8,$D11)=0)*$B11*$C11</f>
        <v/>
      </c>
      <c r="P11" s="98">
        <f>(MOD(P$8,$D11)=0)*$B11*$C11</f>
        <v/>
      </c>
      <c r="Q11" s="98">
        <f>(MOD(Q$8,$D11)=0)*$B11*$C11</f>
        <v/>
      </c>
      <c r="R11" s="98">
        <f>(MOD(R$8,$D11)=0)*$B11*$C11</f>
        <v/>
      </c>
      <c r="S11" s="98">
        <f>(MOD(S$8,$D11)=0)*$B11*$C11</f>
        <v/>
      </c>
      <c r="T11" s="98">
        <f>(MOD(T$8,$D11)=0)*$B11*$C11</f>
        <v/>
      </c>
      <c r="U11" s="98">
        <f>(MOD(U$8,$D11)=0)*$B11*$C11</f>
        <v/>
      </c>
    </row>
    <row r="12">
      <c r="A12" s="267" t="inlineStr">
        <is>
          <t>Sump</t>
        </is>
      </c>
      <c r="B12" s="310" t="n">
        <v>100</v>
      </c>
      <c r="C12" s="123" t="n">
        <v>1</v>
      </c>
      <c r="D12" s="310" t="n">
        <v>5</v>
      </c>
      <c r="E12" s="310" t="n"/>
      <c r="F12" s="130" t="n"/>
      <c r="G12" s="202" t="n"/>
      <c r="H12" s="202" t="n"/>
      <c r="I12" s="123" t="n">
        <v>0</v>
      </c>
      <c r="K12" s="98">
        <f>(MOD(K$8,$D12)=0)*$B12*$C12</f>
        <v/>
      </c>
      <c r="L12" s="98">
        <f>(MOD(L$8,$D12)=0)*$B12*$C12</f>
        <v/>
      </c>
      <c r="M12" s="98">
        <f>(MOD(M$8,$D12)=0)*$B12*$C12</f>
        <v/>
      </c>
      <c r="N12" s="98">
        <f>(MOD(N$8,$D12)=0)*$B12*$C12</f>
        <v/>
      </c>
      <c r="O12" s="98">
        <f>(MOD(O$8,$D12)=0)*$B12*$C12</f>
        <v/>
      </c>
      <c r="P12" s="98">
        <f>(MOD(P$8,$D12)=0)*$B12*$C12</f>
        <v/>
      </c>
      <c r="Q12" s="98">
        <f>(MOD(Q$8,$D12)=0)*$B12*$C12</f>
        <v/>
      </c>
      <c r="R12" s="98">
        <f>(MOD(R$8,$D12)=0)*$B12*$C12</f>
        <v/>
      </c>
      <c r="S12" s="98">
        <f>(MOD(S$8,$D12)=0)*$B12*$C12</f>
        <v/>
      </c>
      <c r="T12" s="98">
        <f>(MOD(T$8,$D12)=0)*$B12*$C12</f>
        <v/>
      </c>
      <c r="U12" s="98">
        <f>(MOD(U$8,$D12)=0)*$B12*$C12</f>
        <v/>
      </c>
    </row>
    <row r="13">
      <c r="A13" s="267" t="inlineStr">
        <is>
          <t>Pump</t>
        </is>
      </c>
      <c r="B13" s="310" t="n">
        <v>100</v>
      </c>
      <c r="C13" s="123" t="n">
        <v>1</v>
      </c>
      <c r="D13" s="310" t="n">
        <v>5</v>
      </c>
      <c r="E13" s="310" t="n"/>
      <c r="F13" s="130" t="n"/>
      <c r="G13" s="202" t="n"/>
      <c r="H13" s="202" t="n"/>
      <c r="I13" s="123" t="n">
        <v>1</v>
      </c>
      <c r="K13" s="98">
        <f>(MOD(K$8,$D13)=0)*$B13*$C13</f>
        <v/>
      </c>
      <c r="L13" s="98">
        <f>(MOD(L$8,$D13)=0)*$B13*$C13</f>
        <v/>
      </c>
      <c r="M13" s="98">
        <f>(MOD(M$8,$D13)=0)*$B13*$C13</f>
        <v/>
      </c>
      <c r="N13" s="98">
        <f>(MOD(N$8,$D13)=0)*$B13*$C13</f>
        <v/>
      </c>
      <c r="O13" s="98">
        <f>(MOD(O$8,$D13)=0)*$B13*$C13</f>
        <v/>
      </c>
      <c r="P13" s="98">
        <f>(MOD(P$8,$D13)=0)*$B13*$C13</f>
        <v/>
      </c>
      <c r="Q13" s="98">
        <f>(MOD(Q$8,$D13)=0)*$B13*$C13</f>
        <v/>
      </c>
      <c r="R13" s="98">
        <f>(MOD(R$8,$D13)=0)*$B13*$C13</f>
        <v/>
      </c>
      <c r="S13" s="98">
        <f>(MOD(S$8,$D13)=0)*$B13*$C13</f>
        <v/>
      </c>
      <c r="T13" s="98">
        <f>(MOD(T$8,$D13)=0)*$B13*$C13</f>
        <v/>
      </c>
      <c r="U13" s="98">
        <f>(MOD(U$8,$D13)=0)*$B13*$C13</f>
        <v/>
      </c>
    </row>
    <row r="14" outlineLevel="1" s="313">
      <c r="A14" s="267" t="inlineStr">
        <is>
          <t>Gas Exchange</t>
        </is>
      </c>
      <c r="B14" s="310" t="n"/>
      <c r="C14" s="310" t="n">
        <v>1</v>
      </c>
      <c r="D14" s="310" t="n">
        <v>5</v>
      </c>
      <c r="E14" s="310" t="n"/>
      <c r="F14" s="130" t="n"/>
      <c r="G14" s="310" t="n"/>
      <c r="H14" s="310">
        <f>C14*G14</f>
        <v/>
      </c>
      <c r="I14" s="310" t="n">
        <v>1</v>
      </c>
      <c r="K14" s="98">
        <f>(MOD(K$8,$D14)=0)*$B14*$C14</f>
        <v/>
      </c>
      <c r="L14" s="98">
        <f>(MOD(L$8,$D14)=0)*$B14*$C14</f>
        <v/>
      </c>
      <c r="M14" s="98">
        <f>(MOD(M$8,$D14)=0)*$B14*$C14</f>
        <v/>
      </c>
      <c r="N14" s="98">
        <f>(MOD(N$8,$D14)=0)*$B14*$C14</f>
        <v/>
      </c>
      <c r="O14" s="98">
        <f>(MOD(O$8,$D14)=0)*$B14*$C14</f>
        <v/>
      </c>
      <c r="P14" s="98">
        <f>(MOD(P$8,$D14)=0)*$B14*$C14</f>
        <v/>
      </c>
      <c r="Q14" s="98">
        <f>(MOD(Q$8,$D14)=0)*$B14*$C14</f>
        <v/>
      </c>
      <c r="R14" s="98">
        <f>(MOD(R$8,$D14)=0)*$B14*$C14</f>
        <v/>
      </c>
      <c r="S14" s="98">
        <f>(MOD(S$8,$D14)=0)*$B14*$C14</f>
        <v/>
      </c>
      <c r="T14" s="98">
        <f>(MOD(T$8,$D14)=0)*$B14*$C14</f>
        <v/>
      </c>
      <c r="U14" s="98">
        <f>(MOD(U$8,$D14)=0)*$B14*$C14</f>
        <v/>
      </c>
    </row>
    <row r="15" outlineLevel="1" s="313">
      <c r="A15" s="267" t="inlineStr">
        <is>
          <t>Purging Tank "Off-Flavor"</t>
        </is>
      </c>
      <c r="B15" s="310" t="n"/>
      <c r="C15" s="310" t="n">
        <v>0</v>
      </c>
      <c r="D15" s="310" t="n">
        <v>10</v>
      </c>
      <c r="E15" s="310" t="n"/>
      <c r="F15" s="130" t="n"/>
      <c r="G15" s="310" t="n"/>
      <c r="H15" s="310">
        <f>C15*G15</f>
        <v/>
      </c>
      <c r="I15" s="310" t="n">
        <v>0</v>
      </c>
      <c r="K15" s="98">
        <f>(MOD(K$8,$D15)=0)*$B15*$C15</f>
        <v/>
      </c>
      <c r="L15" s="98">
        <f>(MOD(L$8,$D15)=0)*$B15*$C15</f>
        <v/>
      </c>
      <c r="M15" s="98">
        <f>(MOD(M$8,$D15)=0)*$B15*$C15</f>
        <v/>
      </c>
      <c r="N15" s="98">
        <f>(MOD(N$8,$D15)=0)*$B15*$C15</f>
        <v/>
      </c>
      <c r="O15" s="98">
        <f>(MOD(O$8,$D15)=0)*$B15*$C15</f>
        <v/>
      </c>
      <c r="P15" s="98">
        <f>(MOD(P$8,$D15)=0)*$B15*$C15</f>
        <v/>
      </c>
      <c r="Q15" s="98">
        <f>(MOD(Q$8,$D15)=0)*$B15*$C15</f>
        <v/>
      </c>
      <c r="R15" s="98">
        <f>(MOD(R$8,$D15)=0)*$B15*$C15</f>
        <v/>
      </c>
      <c r="S15" s="98">
        <f>(MOD(S$8,$D15)=0)*$B15*$C15</f>
        <v/>
      </c>
      <c r="T15" s="98">
        <f>(MOD(T$8,$D15)=0)*$B15*$C15</f>
        <v/>
      </c>
      <c r="U15" s="98">
        <f>(MOD(U$8,$D15)=0)*$B15*$C15</f>
        <v/>
      </c>
    </row>
    <row r="16" outlineLevel="1" s="313">
      <c r="A16" s="267" t="inlineStr">
        <is>
          <t>Denitrification (USBR)</t>
        </is>
      </c>
      <c r="B16" s="310" t="n"/>
      <c r="C16" s="310" t="n">
        <v>0</v>
      </c>
      <c r="D16" s="310" t="n">
        <v>20</v>
      </c>
      <c r="E16" s="310" t="n"/>
      <c r="F16" s="130" t="n"/>
      <c r="G16" s="310" t="n"/>
      <c r="H16" s="310">
        <f>C16*G16</f>
        <v/>
      </c>
      <c r="I16" s="310" t="n">
        <v>0</v>
      </c>
      <c r="K16" s="98">
        <f>(MOD(K$8,$D16)=0)*$B16*$C16</f>
        <v/>
      </c>
      <c r="L16" s="98">
        <f>(MOD(L$8,$D16)=0)*$B16*$C16</f>
        <v/>
      </c>
      <c r="M16" s="98">
        <f>(MOD(M$8,$D16)=0)*$B16*$C16</f>
        <v/>
      </c>
      <c r="N16" s="98">
        <f>(MOD(N$8,$D16)=0)*$B16*$C16</f>
        <v/>
      </c>
      <c r="O16" s="98">
        <f>(MOD(O$8,$D16)=0)*$B16*$C16</f>
        <v/>
      </c>
      <c r="P16" s="98">
        <f>(MOD(P$8,$D16)=0)*$B16*$C16</f>
        <v/>
      </c>
      <c r="Q16" s="98">
        <f>(MOD(Q$8,$D16)=0)*$B16*$C16</f>
        <v/>
      </c>
      <c r="R16" s="98">
        <f>(MOD(R$8,$D16)=0)*$B16*$C16</f>
        <v/>
      </c>
      <c r="S16" s="98">
        <f>(MOD(S$8,$D16)=0)*$B16*$C16</f>
        <v/>
      </c>
      <c r="T16" s="98">
        <f>(MOD(T$8,$D16)=0)*$B16*$C16</f>
        <v/>
      </c>
      <c r="U16" s="98">
        <f>(MOD(U$8,$D16)=0)*$B16*$C16</f>
        <v/>
      </c>
    </row>
    <row r="17" outlineLevel="1" s="313">
      <c r="A17" s="267" t="inlineStr">
        <is>
          <t>Drum Filter</t>
        </is>
      </c>
      <c r="B17" s="310" t="n"/>
      <c r="C17" s="310" t="n">
        <v>0</v>
      </c>
      <c r="D17" s="310" t="n">
        <v>5</v>
      </c>
      <c r="E17" s="310" t="n"/>
      <c r="F17" s="130" t="n"/>
      <c r="G17" s="310" t="n"/>
      <c r="H17" s="310">
        <f>C17*G17</f>
        <v/>
      </c>
      <c r="I17" s="310" t="n">
        <v>0</v>
      </c>
      <c r="K17" s="98">
        <f>(MOD(K$8,$D17)=0)*$B17*$C17</f>
        <v/>
      </c>
      <c r="L17" s="98">
        <f>(MOD(L$8,$D17)=0)*$B17*$C17</f>
        <v/>
      </c>
      <c r="M17" s="98">
        <f>(MOD(M$8,$D17)=0)*$B17*$C17</f>
        <v/>
      </c>
      <c r="N17" s="98">
        <f>(MOD(N$8,$D17)=0)*$B17*$C17</f>
        <v/>
      </c>
      <c r="O17" s="98">
        <f>(MOD(O$8,$D17)=0)*$B17*$C17</f>
        <v/>
      </c>
      <c r="P17" s="98">
        <f>(MOD(P$8,$D17)=0)*$B17*$C17</f>
        <v/>
      </c>
      <c r="Q17" s="98">
        <f>(MOD(Q$8,$D17)=0)*$B17*$C17</f>
        <v/>
      </c>
      <c r="R17" s="98">
        <f>(MOD(R$8,$D17)=0)*$B17*$C17</f>
        <v/>
      </c>
      <c r="S17" s="98">
        <f>(MOD(S$8,$D17)=0)*$B17*$C17</f>
        <v/>
      </c>
      <c r="T17" s="98">
        <f>(MOD(T$8,$D17)=0)*$B17*$C17</f>
        <v/>
      </c>
      <c r="U17" s="98">
        <f>(MOD(U$8,$D17)=0)*$B17*$C17</f>
        <v/>
      </c>
    </row>
    <row r="18" outlineLevel="1" s="313">
      <c r="A18" s="267" t="inlineStr">
        <is>
          <t>UV-sterilization</t>
        </is>
      </c>
      <c r="B18" s="310" t="n"/>
      <c r="C18" s="310" t="n">
        <v>0</v>
      </c>
      <c r="D18" s="310" t="n">
        <v>5</v>
      </c>
      <c r="E18" s="310" t="n"/>
      <c r="F18" s="130" t="n"/>
      <c r="G18" s="310" t="n"/>
      <c r="H18" s="310">
        <f>C18*G18</f>
        <v/>
      </c>
      <c r="I18" s="310" t="n">
        <v>0</v>
      </c>
      <c r="K18" s="98">
        <f>(MOD(K$8,$D18)=0)*$B18*$C18</f>
        <v/>
      </c>
      <c r="L18" s="98">
        <f>(MOD(L$8,$D18)=0)*$B18*$C18</f>
        <v/>
      </c>
      <c r="M18" s="98">
        <f>(MOD(M$8,$D18)=0)*$B18*$C18</f>
        <v/>
      </c>
      <c r="N18" s="98">
        <f>(MOD(N$8,$D18)=0)*$B18*$C18</f>
        <v/>
      </c>
      <c r="O18" s="98">
        <f>(MOD(O$8,$D18)=0)*$B18*$C18</f>
        <v/>
      </c>
      <c r="P18" s="98">
        <f>(MOD(P$8,$D18)=0)*$B18*$C18</f>
        <v/>
      </c>
      <c r="Q18" s="98">
        <f>(MOD(Q$8,$D18)=0)*$B18*$C18</f>
        <v/>
      </c>
      <c r="R18" s="98">
        <f>(MOD(R$8,$D18)=0)*$B18*$C18</f>
        <v/>
      </c>
      <c r="S18" s="98">
        <f>(MOD(S$8,$D18)=0)*$B18*$C18</f>
        <v/>
      </c>
      <c r="T18" s="98">
        <f>(MOD(T$8,$D18)=0)*$B18*$C18</f>
        <v/>
      </c>
      <c r="U18" s="98">
        <f>(MOD(U$8,$D18)=0)*$B18*$C18</f>
        <v/>
      </c>
    </row>
    <row r="19" outlineLevel="1" s="313">
      <c r="A19" s="267" t="inlineStr">
        <is>
          <t>Oxygen enrichment</t>
        </is>
      </c>
      <c r="B19" s="310" t="n"/>
      <c r="C19" s="310" t="n">
        <v>0</v>
      </c>
      <c r="D19" s="310" t="n">
        <v>5</v>
      </c>
      <c r="E19" s="310" t="n">
        <v>100</v>
      </c>
      <c r="F19" s="130">
        <f>E19*RAS_VOLUME*24*365/1000</f>
        <v/>
      </c>
      <c r="G19" s="310" t="n"/>
      <c r="H19" s="310">
        <f>C19*G19</f>
        <v/>
      </c>
      <c r="I19" s="310" t="n">
        <v>0</v>
      </c>
      <c r="K19" s="98">
        <f>(MOD(K$8,$D19)=0)*$B19*$C19</f>
        <v/>
      </c>
      <c r="L19" s="98">
        <f>(MOD(L$8,$D19)=0)*$B19*$C19</f>
        <v/>
      </c>
      <c r="M19" s="98">
        <f>(MOD(M$8,$D19)=0)*$B19*$C19</f>
        <v/>
      </c>
      <c r="N19" s="98">
        <f>(MOD(N$8,$D19)=0)*$B19*$C19</f>
        <v/>
      </c>
      <c r="O19" s="98">
        <f>(MOD(O$8,$D19)=0)*$B19*$C19</f>
        <v/>
      </c>
      <c r="P19" s="98">
        <f>(MOD(P$8,$D19)=0)*$B19*$C19</f>
        <v/>
      </c>
      <c r="Q19" s="98">
        <f>(MOD(Q$8,$D19)=0)*$B19*$C19</f>
        <v/>
      </c>
      <c r="R19" s="98">
        <f>(MOD(R$8,$D19)=0)*$B19*$C19</f>
        <v/>
      </c>
      <c r="S19" s="98">
        <f>(MOD(S$8,$D19)=0)*$B19*$C19</f>
        <v/>
      </c>
      <c r="T19" s="98">
        <f>(MOD(T$8,$D19)=0)*$B19*$C19</f>
        <v/>
      </c>
      <c r="U19" s="98">
        <f>(MOD(U$8,$D19)=0)*$B19*$C19</f>
        <v/>
      </c>
    </row>
    <row r="20" outlineLevel="1" s="313">
      <c r="A20" s="267" t="inlineStr">
        <is>
          <t>Ozone enrighment</t>
        </is>
      </c>
      <c r="B20" s="310" t="n"/>
      <c r="C20" s="310" t="n">
        <v>0</v>
      </c>
      <c r="D20" s="310" t="n">
        <v>5</v>
      </c>
      <c r="E20" s="310" t="n">
        <v>12</v>
      </c>
      <c r="F20" s="130">
        <f>E20*RAS_VOLUME*12*365/1000</f>
        <v/>
      </c>
      <c r="G20" s="310" t="n"/>
      <c r="H20" s="310">
        <f>C20*G20</f>
        <v/>
      </c>
      <c r="I20" s="310" t="n">
        <v>0</v>
      </c>
      <c r="K20" s="98">
        <f>(MOD(K$8,$D20)=0)*$B20*$C20</f>
        <v/>
      </c>
      <c r="L20" s="98">
        <f>(MOD(L$8,$D20)=0)*$B20*$C20</f>
        <v/>
      </c>
      <c r="M20" s="98">
        <f>(MOD(M$8,$D20)=0)*$B20*$C20</f>
        <v/>
      </c>
      <c r="N20" s="98">
        <f>(MOD(N$8,$D20)=0)*$B20*$C20</f>
        <v/>
      </c>
      <c r="O20" s="98">
        <f>(MOD(O$8,$D20)=0)*$B20*$C20</f>
        <v/>
      </c>
      <c r="P20" s="98">
        <f>(MOD(P$8,$D20)=0)*$B20*$C20</f>
        <v/>
      </c>
      <c r="Q20" s="98">
        <f>(MOD(Q$8,$D20)=0)*$B20*$C20</f>
        <v/>
      </c>
      <c r="R20" s="98">
        <f>(MOD(R$8,$D20)=0)*$B20*$C20</f>
        <v/>
      </c>
      <c r="S20" s="98">
        <f>(MOD(S$8,$D20)=0)*$B20*$C20</f>
        <v/>
      </c>
      <c r="T20" s="98">
        <f>(MOD(T$8,$D20)=0)*$B20*$C20</f>
        <v/>
      </c>
      <c r="U20" s="98">
        <f>(MOD(U$8,$D20)=0)*$B20*$C20</f>
        <v/>
      </c>
    </row>
    <row r="21" outlineLevel="1" s="313">
      <c r="A21" s="267" t="inlineStr">
        <is>
          <t>Heat Exchanger</t>
        </is>
      </c>
      <c r="B21" s="310" t="n"/>
      <c r="C21" s="310" t="n">
        <v>0</v>
      </c>
      <c r="D21" s="310" t="n">
        <v>3</v>
      </c>
      <c r="E21" s="310" t="n">
        <v>200</v>
      </c>
      <c r="F21" s="130">
        <f>E21*RAS_VOLUME*4*365/1000</f>
        <v/>
      </c>
      <c r="G21" s="310" t="n"/>
      <c r="H21" s="310">
        <f>C21*G21</f>
        <v/>
      </c>
      <c r="I21" s="310" t="n">
        <v>1</v>
      </c>
      <c r="K21" s="98">
        <f>(MOD(K$8,$D21)=0)*$B21*$C21</f>
        <v/>
      </c>
      <c r="L21" s="98">
        <f>(MOD(L$8,$D21)=0)*$B21*$C21</f>
        <v/>
      </c>
      <c r="M21" s="98">
        <f>(MOD(M$8,$D21)=0)*$B21*$C21</f>
        <v/>
      </c>
      <c r="N21" s="98">
        <f>(MOD(N$8,$D21)=0)*$B21*$C21</f>
        <v/>
      </c>
      <c r="O21" s="98">
        <f>(MOD(O$8,$D21)=0)*$B21*$C21</f>
        <v/>
      </c>
      <c r="P21" s="98">
        <f>(MOD(P$8,$D21)=0)*$B21*$C21</f>
        <v/>
      </c>
      <c r="Q21" s="98">
        <f>(MOD(Q$8,$D21)=0)*$B21*$C21</f>
        <v/>
      </c>
      <c r="R21" s="98">
        <f>(MOD(R$8,$D21)=0)*$B21*$C21</f>
        <v/>
      </c>
      <c r="S21" s="98">
        <f>(MOD(S$8,$D21)=0)*$B21*$C21</f>
        <v/>
      </c>
      <c r="T21" s="98">
        <f>(MOD(T$8,$D21)=0)*$B21*$C21</f>
        <v/>
      </c>
      <c r="U21" s="98">
        <f>(MOD(U$8,$D21)=0)*$B21*$C21</f>
        <v/>
      </c>
    </row>
    <row r="22">
      <c r="A22" s="2" t="inlineStr">
        <is>
          <t>1/fish tank</t>
        </is>
      </c>
      <c r="B22" s="130">
        <f>FISH_TANK</f>
        <v/>
      </c>
      <c r="D22" s="21" t="n"/>
      <c r="E22" s="21" t="n"/>
      <c r="F22" s="21" t="n"/>
      <c r="G22" s="21" t="n"/>
      <c r="H22" s="21" t="n"/>
      <c r="I22" s="21" t="n"/>
      <c r="K22" s="212">
        <f>SUM(K23:K29)</f>
        <v/>
      </c>
      <c r="L22" s="212">
        <f>SUM(L23:L29)</f>
        <v/>
      </c>
      <c r="M22" s="212">
        <f>SUM(M23:M29)</f>
        <v/>
      </c>
      <c r="N22" s="212">
        <f>SUM(N23:N29)</f>
        <v/>
      </c>
      <c r="O22" s="212">
        <f>SUM(O23:O29)</f>
        <v/>
      </c>
      <c r="P22" s="212">
        <f>SUM(P23:P29)</f>
        <v/>
      </c>
      <c r="Q22" s="212">
        <f>SUM(Q23:Q29)</f>
        <v/>
      </c>
      <c r="R22" s="212">
        <f>SUM(R23:R29)</f>
        <v/>
      </c>
      <c r="S22" s="212">
        <f>SUM(S23:S29)</f>
        <v/>
      </c>
      <c r="T22" s="212">
        <f>SUM(T23:T29)</f>
        <v/>
      </c>
      <c r="U22" s="212">
        <f>SUM(U23:U29)</f>
        <v/>
      </c>
    </row>
    <row r="23">
      <c r="A23" s="267" t="inlineStr">
        <is>
          <t>Fish Tank</t>
        </is>
      </c>
      <c r="B23" s="310" t="n">
        <v>500</v>
      </c>
      <c r="C23" s="123" t="n">
        <v>1</v>
      </c>
      <c r="D23" s="310" t="n">
        <v>20</v>
      </c>
      <c r="E23" s="310" t="n"/>
      <c r="F23" s="310" t="n"/>
      <c r="G23" s="277" t="n"/>
      <c r="H23" s="277" t="n"/>
      <c r="I23" s="123" t="n">
        <v>0</v>
      </c>
      <c r="K23" s="98">
        <f>(MOD(K$8,$D23)=0)*$B23*$B$4*FISH_TANK*$C23</f>
        <v/>
      </c>
      <c r="L23" s="98">
        <f>(MOD(L$8,$D23)=0)*$B23*$B$4*FISH_TANK*$C23</f>
        <v/>
      </c>
      <c r="M23" s="98">
        <f>(MOD(M$8,$D23)=0)*$B23*$B$4*FISH_TANK*$C23</f>
        <v/>
      </c>
      <c r="N23" s="98">
        <f>(MOD(N$8,$D23)=0)*$B23*$B$4*FISH_TANK*$C23</f>
        <v/>
      </c>
      <c r="O23" s="98">
        <f>(MOD(O$8,$D23)=0)*$B23*$B$4*FISH_TANK*$C23</f>
        <v/>
      </c>
      <c r="P23" s="98">
        <f>(MOD(P$8,$D23)=0)*$B23*$B$4*FISH_TANK*$C23</f>
        <v/>
      </c>
      <c r="Q23" s="98">
        <f>(MOD(Q$8,$D23)=0)*$B23*$B$4*FISH_TANK*$C23</f>
        <v/>
      </c>
      <c r="R23" s="98">
        <f>(MOD(R$8,$D23)=0)*$B23*$B$4*FISH_TANK*$C23</f>
        <v/>
      </c>
      <c r="S23" s="98">
        <f>(MOD(S$8,$D23)=0)*$B23*$B$4*FISH_TANK*$C23</f>
        <v/>
      </c>
      <c r="T23" s="98">
        <f>(MOD(T$8,$D23)=0)*$B23*$B$4*FISH_TANK*$C23</f>
        <v/>
      </c>
      <c r="U23" s="98">
        <f>(MOD(U$8,$D23)=0)*$B23*$B$4*FISH_TANK*$C23</f>
        <v/>
      </c>
    </row>
    <row r="24">
      <c r="A24" s="276" t="inlineStr">
        <is>
          <t>pH sensor</t>
        </is>
      </c>
      <c r="B24" s="310" t="n">
        <v>50</v>
      </c>
      <c r="C24" s="123" t="n">
        <v>1</v>
      </c>
      <c r="D24" s="310" t="n">
        <v>1</v>
      </c>
      <c r="E24" s="310" t="n"/>
      <c r="F24" s="130" t="n"/>
      <c r="G24" s="277" t="n"/>
      <c r="H24" s="277" t="n"/>
      <c r="I24" s="123" t="n">
        <v>1</v>
      </c>
      <c r="K24" s="98">
        <f>(MOD(K$8,$D24)=0)*$B24*$B$4*FISH_TANK*$C24</f>
        <v/>
      </c>
      <c r="L24" s="98">
        <f>(MOD(L$8,$D24)=0)*$B24*$B$4*FISH_TANK*$C24</f>
        <v/>
      </c>
      <c r="M24" s="98">
        <f>(MOD(M$8,$D24)=0)*$B24*$B$4*FISH_TANK*$C24</f>
        <v/>
      </c>
      <c r="N24" s="98">
        <f>(MOD(N$8,$D24)=0)*$B24*$B$4*FISH_TANK*$C24</f>
        <v/>
      </c>
      <c r="O24" s="98">
        <f>(MOD(O$8,$D24)=0)*$B24*$B$4*FISH_TANK*$C24</f>
        <v/>
      </c>
      <c r="P24" s="98">
        <f>(MOD(P$8,$D24)=0)*$B24*$B$4*FISH_TANK*$C24</f>
        <v/>
      </c>
      <c r="Q24" s="98">
        <f>(MOD(Q$8,$D24)=0)*$B24*$B$4*FISH_TANK*$C24</f>
        <v/>
      </c>
      <c r="R24" s="98">
        <f>(MOD(R$8,$D24)=0)*$B24*$B$4*FISH_TANK*$C24</f>
        <v/>
      </c>
      <c r="S24" s="98">
        <f>(MOD(S$8,$D24)=0)*$B24*$B$4*FISH_TANK*$C24</f>
        <v/>
      </c>
      <c r="T24" s="98">
        <f>(MOD(T$8,$D24)=0)*$B24*$B$4*FISH_TANK*$C24</f>
        <v/>
      </c>
      <c r="U24" s="98">
        <f>(MOD(U$8,$D24)=0)*$B24*$B$4*FISH_TANK*$C24</f>
        <v/>
      </c>
    </row>
    <row r="25">
      <c r="A25" s="203" t="inlineStr">
        <is>
          <t>Aeration Pump</t>
        </is>
      </c>
      <c r="B25" s="310" t="n">
        <v>15</v>
      </c>
      <c r="C25" s="310" t="n">
        <v>0</v>
      </c>
      <c r="D25" s="310" t="n">
        <v>5</v>
      </c>
      <c r="E25" s="310" t="n">
        <v>20</v>
      </c>
      <c r="F25" s="130">
        <f>E25*RAS_VOLUME*24*365/1000</f>
        <v/>
      </c>
      <c r="G25" s="141" t="n">
        <v>1.05</v>
      </c>
      <c r="H25" s="354">
        <f>C25*G25</f>
        <v/>
      </c>
      <c r="I25" s="310" t="n">
        <v>1</v>
      </c>
      <c r="K25" s="98">
        <f>(MOD(K$8,$D25)=0)*$B25*$B$4*FISH_TANK*$C25</f>
        <v/>
      </c>
      <c r="L25" s="98">
        <f>(MOD(L$8,$D25)=0)*$B25*$B$4*FISH_TANK*$C25</f>
        <v/>
      </c>
      <c r="M25" s="98">
        <f>(MOD(M$8,$D25)=0)*$B25*$B$4*FISH_TANK*$C25</f>
        <v/>
      </c>
      <c r="N25" s="98">
        <f>(MOD(N$8,$D25)=0)*$B25*$B$4*FISH_TANK*$C25</f>
        <v/>
      </c>
      <c r="O25" s="98">
        <f>(MOD(O$8,$D25)=0)*$B25*$B$4*FISH_TANK*$C25</f>
        <v/>
      </c>
      <c r="P25" s="98">
        <f>(MOD(P$8,$D25)=0)*$B25*$B$4*FISH_TANK*$C25</f>
        <v/>
      </c>
      <c r="Q25" s="98">
        <f>(MOD(Q$8,$D25)=0)*$B25*$B$4*FISH_TANK*$C25</f>
        <v/>
      </c>
      <c r="R25" s="98">
        <f>(MOD(R$8,$D25)=0)*$B25*$B$4*FISH_TANK*$C25</f>
        <v/>
      </c>
      <c r="S25" s="98">
        <f>(MOD(S$8,$D25)=0)*$B25*$B$4*FISH_TANK*$C25</f>
        <v/>
      </c>
      <c r="T25" s="98">
        <f>(MOD(T$8,$D25)=0)*$B25*$B$4*FISH_TANK*$C25</f>
        <v/>
      </c>
      <c r="U25" s="98">
        <f>(MOD(U$8,$D25)=0)*$B25*$B$4*FISH_TANK*$C25</f>
        <v/>
      </c>
    </row>
    <row r="26" outlineLevel="1" s="313">
      <c r="A26" s="267" t="inlineStr">
        <is>
          <t>TAN sensor</t>
        </is>
      </c>
      <c r="B26" s="310" t="n"/>
      <c r="C26" s="310" t="n">
        <v>0</v>
      </c>
      <c r="D26" s="310" t="n">
        <v>5</v>
      </c>
      <c r="E26" s="310" t="n"/>
      <c r="F26" s="310" t="n"/>
      <c r="G26" s="310" t="n"/>
      <c r="H26" s="310">
        <f>C26*G26</f>
        <v/>
      </c>
      <c r="I26" s="310" t="n">
        <v>1</v>
      </c>
      <c r="K26" s="98">
        <f>(MOD(K$8,$D26)=0)*$B26*$B$4*FISH_TANK*$C26</f>
        <v/>
      </c>
      <c r="L26" s="98">
        <f>(MOD(L$8,$D26)=0)*$B26*$B$4*FISH_TANK*$C26</f>
        <v/>
      </c>
      <c r="M26" s="98">
        <f>(MOD(M$8,$D26)=0)*$B26*$B$4*FISH_TANK*$C26</f>
        <v/>
      </c>
      <c r="N26" s="98">
        <f>(MOD(N$8,$D26)=0)*$B26*$B$4*FISH_TANK*$C26</f>
        <v/>
      </c>
      <c r="O26" s="98">
        <f>(MOD(O$8,$D26)=0)*$B26*$B$4*FISH_TANK*$C26</f>
        <v/>
      </c>
      <c r="P26" s="98">
        <f>(MOD(P$8,$D26)=0)*$B26*$B$4*FISH_TANK*$C26</f>
        <v/>
      </c>
      <c r="Q26" s="98">
        <f>(MOD(Q$8,$D26)=0)*$B26*$B$4*FISH_TANK*$C26</f>
        <v/>
      </c>
      <c r="R26" s="98">
        <f>(MOD(R$8,$D26)=0)*$B26*$B$4*FISH_TANK*$C26</f>
        <v/>
      </c>
      <c r="S26" s="98">
        <f>(MOD(S$8,$D26)=0)*$B26*$B$4*FISH_TANK*$C26</f>
        <v/>
      </c>
      <c r="T26" s="98">
        <f>(MOD(T$8,$D26)=0)*$B26*$B$4*FISH_TANK*$C26</f>
        <v/>
      </c>
      <c r="U26" s="98">
        <f>(MOD(U$8,$D26)=0)*$B26*$B$4*FISH_TANK*$C26</f>
        <v/>
      </c>
    </row>
    <row r="27" outlineLevel="1" s="313">
      <c r="A27" s="267" t="inlineStr">
        <is>
          <t>DO sensor</t>
        </is>
      </c>
      <c r="B27" s="310" t="n"/>
      <c r="C27" s="310" t="n">
        <v>0</v>
      </c>
      <c r="D27" s="310" t="n">
        <v>1</v>
      </c>
      <c r="E27" s="310" t="n"/>
      <c r="F27" s="310" t="n"/>
      <c r="G27" s="310" t="n"/>
      <c r="H27" s="310">
        <f>C27*G27</f>
        <v/>
      </c>
      <c r="I27" s="310" t="n">
        <v>1</v>
      </c>
      <c r="K27" s="98">
        <f>(MOD(K$8,$D27)=0)*$B27*$B$4*FISH_TANK*$C27</f>
        <v/>
      </c>
      <c r="L27" s="98">
        <f>(MOD(L$8,$D27)=0)*$B27*$B$4*FISH_TANK*$C27</f>
        <v/>
      </c>
      <c r="M27" s="98">
        <f>(MOD(M$8,$D27)=0)*$B27*$B$4*FISH_TANK*$C27</f>
        <v/>
      </c>
      <c r="N27" s="98">
        <f>(MOD(N$8,$D27)=0)*$B27*$B$4*FISH_TANK*$C27</f>
        <v/>
      </c>
      <c r="O27" s="98">
        <f>(MOD(O$8,$D27)=0)*$B27*$B$4*FISH_TANK*$C27</f>
        <v/>
      </c>
      <c r="P27" s="98">
        <f>(MOD(P$8,$D27)=0)*$B27*$B$4*FISH_TANK*$C27</f>
        <v/>
      </c>
      <c r="Q27" s="98">
        <f>(MOD(Q$8,$D27)=0)*$B27*$B$4*FISH_TANK*$C27</f>
        <v/>
      </c>
      <c r="R27" s="98">
        <f>(MOD(R$8,$D27)=0)*$B27*$B$4*FISH_TANK*$C27</f>
        <v/>
      </c>
      <c r="S27" s="98">
        <f>(MOD(S$8,$D27)=0)*$B27*$B$4*FISH_TANK*$C27</f>
        <v/>
      </c>
      <c r="T27" s="98">
        <f>(MOD(T$8,$D27)=0)*$B27*$B$4*FISH_TANK*$C27</f>
        <v/>
      </c>
      <c r="U27" s="98">
        <f>(MOD(U$8,$D27)=0)*$B27*$B$4*FISH_TANK*$C27</f>
        <v/>
      </c>
    </row>
    <row r="28" outlineLevel="1" s="313">
      <c r="A28" s="267" t="inlineStr">
        <is>
          <t>EC sensor</t>
        </is>
      </c>
      <c r="B28" s="310" t="n"/>
      <c r="C28" s="310" t="n">
        <v>0</v>
      </c>
      <c r="D28" s="310" t="n">
        <v>1</v>
      </c>
      <c r="E28" s="310" t="n"/>
      <c r="F28" s="310" t="n"/>
      <c r="G28" s="310" t="n"/>
      <c r="H28" s="310">
        <f>C28*G28</f>
        <v/>
      </c>
      <c r="I28" s="310" t="n">
        <v>1</v>
      </c>
      <c r="K28" s="98">
        <f>(MOD(K$8,$D28)=0)*$B28*$B$4*FISH_TANK*$C28</f>
        <v/>
      </c>
      <c r="L28" s="98">
        <f>(MOD(L$8,$D28)=0)*$B28*$B$4*FISH_TANK*$C28</f>
        <v/>
      </c>
      <c r="M28" s="98">
        <f>(MOD(M$8,$D28)=0)*$B28*$B$4*FISH_TANK*$C28</f>
        <v/>
      </c>
      <c r="N28" s="98">
        <f>(MOD(N$8,$D28)=0)*$B28*$B$4*FISH_TANK*$C28</f>
        <v/>
      </c>
      <c r="O28" s="98">
        <f>(MOD(O$8,$D28)=0)*$B28*$B$4*FISH_TANK*$C28</f>
        <v/>
      </c>
      <c r="P28" s="98">
        <f>(MOD(P$8,$D28)=0)*$B28*$B$4*FISH_TANK*$C28</f>
        <v/>
      </c>
      <c r="Q28" s="98">
        <f>(MOD(Q$8,$D28)=0)*$B28*$B$4*FISH_TANK*$C28</f>
        <v/>
      </c>
      <c r="R28" s="98">
        <f>(MOD(R$8,$D28)=0)*$B28*$B$4*FISH_TANK*$C28</f>
        <v/>
      </c>
      <c r="S28" s="98">
        <f>(MOD(S$8,$D28)=0)*$B28*$B$4*FISH_TANK*$C28</f>
        <v/>
      </c>
      <c r="T28" s="98">
        <f>(MOD(T$8,$D28)=0)*$B28*$B$4*FISH_TANK*$C28</f>
        <v/>
      </c>
      <c r="U28" s="98">
        <f>(MOD(U$8,$D28)=0)*$B28*$B$4*FISH_TANK*$C28</f>
        <v/>
      </c>
    </row>
    <row r="29" outlineLevel="1" s="313">
      <c r="A29" s="267" t="inlineStr">
        <is>
          <t>Thermometer</t>
        </is>
      </c>
      <c r="B29" s="310" t="n"/>
      <c r="C29" s="310" t="n">
        <v>0</v>
      </c>
      <c r="D29" s="310" t="n">
        <v>1</v>
      </c>
      <c r="E29" s="310" t="n"/>
      <c r="F29" s="310" t="n"/>
      <c r="G29" s="310" t="n"/>
      <c r="H29" s="310">
        <f>C29*G29</f>
        <v/>
      </c>
      <c r="I29" s="310" t="n">
        <v>1</v>
      </c>
      <c r="K29" s="98">
        <f>(MOD(K$8,$D29)=0)*$B29*$B$4*FISH_TANK*$C29</f>
        <v/>
      </c>
      <c r="L29" s="98">
        <f>(MOD(L$8,$D29)=0)*$B29*$B$4*FISH_TANK*$C29</f>
        <v/>
      </c>
      <c r="M29" s="98">
        <f>(MOD(M$8,$D29)=0)*$B29*$B$4*FISH_TANK*$C29</f>
        <v/>
      </c>
      <c r="N29" s="98">
        <f>(MOD(N$8,$D29)=0)*$B29*$B$4*FISH_TANK*$C29</f>
        <v/>
      </c>
      <c r="O29" s="98">
        <f>(MOD(O$8,$D29)=0)*$B29*$B$4*FISH_TANK*$C29</f>
        <v/>
      </c>
      <c r="P29" s="98">
        <f>(MOD(P$8,$D29)=0)*$B29*$B$4*FISH_TANK*$C29</f>
        <v/>
      </c>
      <c r="Q29" s="98">
        <f>(MOD(Q$8,$D29)=0)*$B29*$B$4*FISH_TANK*$C29</f>
        <v/>
      </c>
      <c r="R29" s="98">
        <f>(MOD(R$8,$D29)=0)*$B29*$B$4*FISH_TANK*$C29</f>
        <v/>
      </c>
      <c r="S29" s="98">
        <f>(MOD(S$8,$D29)=0)*$B29*$B$4*FISH_TANK*$C29</f>
        <v/>
      </c>
      <c r="T29" s="98">
        <f>(MOD(T$8,$D29)=0)*$B29*$B$4*FISH_TANK*$C29</f>
        <v/>
      </c>
      <c r="U29" s="98">
        <f>(MOD(U$8,$D29)=0)*$B29*$B$4*FISH_TANK*$C29</f>
        <v/>
      </c>
    </row>
    <row r="30" outlineLevel="1" s="313">
      <c r="A30" s="267" t="inlineStr">
        <is>
          <t>Automatic Feeder</t>
        </is>
      </c>
      <c r="B30" s="310" t="n"/>
      <c r="C30" s="310" t="n">
        <v>0</v>
      </c>
      <c r="D30" s="310" t="n">
        <v>5</v>
      </c>
      <c r="E30" s="310" t="n"/>
      <c r="F30" s="130" t="n"/>
      <c r="G30" s="310" t="n"/>
      <c r="H30" s="310">
        <f>C30*G30</f>
        <v/>
      </c>
      <c r="I30" s="310" t="n">
        <v>1</v>
      </c>
      <c r="K30" s="98">
        <f>(MOD(K$8,$D30)=0)*$B30*$B$4*FISH_TANK*$C30</f>
        <v/>
      </c>
      <c r="L30" s="98">
        <f>(MOD(L$8,$D30)=0)*$B30*$B$4*FISH_TANK*$C30</f>
        <v/>
      </c>
      <c r="M30" s="98">
        <f>(MOD(M$8,$D30)=0)*$B30*$B$4*FISH_TANK*$C30</f>
        <v/>
      </c>
      <c r="N30" s="98">
        <f>(MOD(N$8,$D30)=0)*$B30*$B$4*FISH_TANK*$C30</f>
        <v/>
      </c>
      <c r="O30" s="98">
        <f>(MOD(O$8,$D30)=0)*$B30*$B$4*FISH_TANK*$C30</f>
        <v/>
      </c>
      <c r="P30" s="98">
        <f>(MOD(P$8,$D30)=0)*$B30*$B$4*FISH_TANK*$C30</f>
        <v/>
      </c>
      <c r="Q30" s="98">
        <f>(MOD(Q$8,$D30)=0)*$B30*$B$4*FISH_TANK*$C30</f>
        <v/>
      </c>
      <c r="R30" s="98">
        <f>(MOD(R$8,$D30)=0)*$B30*$B$4*FISH_TANK*$C30</f>
        <v/>
      </c>
      <c r="S30" s="98">
        <f>(MOD(S$8,$D30)=0)*$B30*$B$4*FISH_TANK*$C30</f>
        <v/>
      </c>
      <c r="T30" s="98">
        <f>(MOD(T$8,$D30)=0)*$B30*$B$4*FISH_TANK*$C30</f>
        <v/>
      </c>
      <c r="U30" s="98">
        <f>(MOD(U$8,$D30)=0)*$B30*$B$4*FISH_TANK*$C30</f>
        <v/>
      </c>
    </row>
    <row r="31" outlineLevel="1" s="313">
      <c r="A31" s="267" t="inlineStr">
        <is>
          <t>Fish-pump (or escalator)</t>
        </is>
      </c>
      <c r="B31" s="310" t="n"/>
      <c r="C31" s="310" t="n">
        <v>0</v>
      </c>
      <c r="D31" s="310" t="n">
        <v>5</v>
      </c>
      <c r="E31" s="310" t="n"/>
      <c r="F31" s="130" t="n"/>
      <c r="G31" s="310" t="n"/>
      <c r="H31" s="310">
        <f>C31*G31</f>
        <v/>
      </c>
      <c r="I31" s="310" t="n">
        <v>1</v>
      </c>
      <c r="K31" s="98">
        <f>(MOD(K$8,$D31)=0)*$B31*$B$4*FISH_TANK*$C31</f>
        <v/>
      </c>
      <c r="L31" s="98">
        <f>(MOD(L$8,$D31)=0)*$B31*$B$4*FISH_TANK*$C31</f>
        <v/>
      </c>
      <c r="M31" s="98">
        <f>(MOD(M$8,$D31)=0)*$B31*$B$4*FISH_TANK*$C31</f>
        <v/>
      </c>
      <c r="N31" s="98">
        <f>(MOD(N$8,$D31)=0)*$B31*$B$4*FISH_TANK*$C31</f>
        <v/>
      </c>
      <c r="O31" s="98">
        <f>(MOD(O$8,$D31)=0)*$B31*$B$4*FISH_TANK*$C31</f>
        <v/>
      </c>
      <c r="P31" s="98">
        <f>(MOD(P$8,$D31)=0)*$B31*$B$4*FISH_TANK*$C31</f>
        <v/>
      </c>
      <c r="Q31" s="98">
        <f>(MOD(Q$8,$D31)=0)*$B31*$B$4*FISH_TANK*$C31</f>
        <v/>
      </c>
      <c r="R31" s="98">
        <f>(MOD(R$8,$D31)=0)*$B31*$B$4*FISH_TANK*$C31</f>
        <v/>
      </c>
      <c r="S31" s="98">
        <f>(MOD(S$8,$D31)=0)*$B31*$B$4*FISH_TANK*$C31</f>
        <v/>
      </c>
      <c r="T31" s="98">
        <f>(MOD(T$8,$D31)=0)*$B31*$B$4*FISH_TANK*$C31</f>
        <v/>
      </c>
      <c r="U31" s="98">
        <f>(MOD(U$8,$D31)=0)*$B31*$B$4*FISH_TANK*$C31</f>
        <v/>
      </c>
    </row>
    <row r="32"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18" customHeight="1" s="313">
      <c r="A33" s="306" t="inlineStr">
        <is>
          <t>Hydroponics System</t>
        </is>
      </c>
      <c r="B33" s="206" t="n"/>
      <c r="C33" s="205" t="n"/>
      <c r="D33" s="205" t="n"/>
      <c r="E33" s="205" t="n"/>
      <c r="F33" s="130" t="n"/>
      <c r="G33" s="205" t="n"/>
      <c r="H33" s="205" t="n"/>
      <c r="I33" s="354">
        <f>SUMPRODUCT(C35:C48,I35:I48)/SUM(C35:C48)</f>
        <v/>
      </c>
      <c r="K33" s="212">
        <f>K34+K39</f>
        <v/>
      </c>
      <c r="L33" s="212">
        <f>L34+L39</f>
        <v/>
      </c>
      <c r="M33" s="212">
        <f>M34+M39</f>
        <v/>
      </c>
      <c r="N33" s="212">
        <f>N34+N39</f>
        <v/>
      </c>
      <c r="O33" s="212">
        <f>O34+O39</f>
        <v/>
      </c>
      <c r="P33" s="212">
        <f>P34+P39</f>
        <v/>
      </c>
      <c r="Q33" s="212">
        <f>Q34+Q39</f>
        <v/>
      </c>
      <c r="R33" s="212">
        <f>R34+R39</f>
        <v/>
      </c>
      <c r="S33" s="212">
        <f>S34+S39</f>
        <v/>
      </c>
      <c r="T33" s="212">
        <f>T34+T39</f>
        <v/>
      </c>
      <c r="U33" s="212">
        <f>U34+U39</f>
        <v/>
      </c>
    </row>
    <row r="34">
      <c r="A34" s="2" t="inlineStr">
        <is>
          <t>1/Hydroponics m²</t>
        </is>
      </c>
      <c r="B34" s="130">
        <f>HYDROPONIC_AREA</f>
        <v/>
      </c>
      <c r="K34" s="212">
        <f>SUM(K35:K38)</f>
        <v/>
      </c>
      <c r="L34" s="212">
        <f>SUM(L35:L38)</f>
        <v/>
      </c>
      <c r="M34" s="212">
        <f>SUM(M35:M38)</f>
        <v/>
      </c>
      <c r="N34" s="212">
        <f>SUM(N35:N38)</f>
        <v/>
      </c>
      <c r="O34" s="212">
        <f>SUM(O35:O38)</f>
        <v/>
      </c>
      <c r="P34" s="212">
        <f>SUM(P35:P38)</f>
        <v/>
      </c>
      <c r="Q34" s="212">
        <f>SUM(Q35:Q38)</f>
        <v/>
      </c>
      <c r="R34" s="212">
        <f>SUM(R35:R38)</f>
        <v/>
      </c>
      <c r="S34" s="212">
        <f>SUM(S35:S38)</f>
        <v/>
      </c>
      <c r="T34" s="212">
        <f>SUM(T35:T38)</f>
        <v/>
      </c>
      <c r="U34" s="212">
        <f>SUM(U35:U38)</f>
        <v/>
      </c>
    </row>
    <row r="35">
      <c r="A35" s="267" t="inlineStr">
        <is>
          <t>Ventilators</t>
        </is>
      </c>
      <c r="B35" s="310" t="n">
        <v>15</v>
      </c>
      <c r="C35" s="310" t="n">
        <v>1</v>
      </c>
      <c r="D35" s="310" t="n">
        <v>20</v>
      </c>
      <c r="E35" s="310" t="n">
        <v>7</v>
      </c>
      <c r="F35" s="130">
        <f>E35*HYDROPONIC_AREA*12*365/1000</f>
        <v/>
      </c>
      <c r="G35" s="141" t="n">
        <v>1</v>
      </c>
      <c r="H35" s="354">
        <f>C35*G35</f>
        <v/>
      </c>
      <c r="I35" s="310" t="n">
        <v>0</v>
      </c>
      <c r="K35" s="98">
        <f>(MOD(K$8,$D35)=0)*$B35*$C35*HYDROPONIC_AREA</f>
        <v/>
      </c>
      <c r="L35" s="98">
        <f>(MOD(L$8,$D35)=0)*$B35*$C35*HYDROPONIC_AREA</f>
        <v/>
      </c>
      <c r="M35" s="98">
        <f>(MOD(M$8,$D35)=0)*$B35*$C35*HYDROPONIC_AREA</f>
        <v/>
      </c>
      <c r="N35" s="98">
        <f>(MOD(N$8,$D35)=0)*$B35*$C35*HYDROPONIC_AREA</f>
        <v/>
      </c>
      <c r="O35" s="98">
        <f>(MOD(O$8,$D35)=0)*$B35*$C35*HYDROPONIC_AREA</f>
        <v/>
      </c>
      <c r="P35" s="98">
        <f>(MOD(P$8,$D35)=0)*$B35*$C35*HYDROPONIC_AREA</f>
        <v/>
      </c>
      <c r="Q35" s="98">
        <f>(MOD(Q$8,$D35)=0)*$B35*$C35*HYDROPONIC_AREA</f>
        <v/>
      </c>
      <c r="R35" s="98">
        <f>(MOD(R$8,$D35)=0)*$B35*$C35*HYDROPONIC_AREA</f>
        <v/>
      </c>
      <c r="S35" s="98">
        <f>(MOD(S$8,$D35)=0)*$B35*$C35*HYDROPONIC_AREA</f>
        <v/>
      </c>
      <c r="T35" s="98">
        <f>(MOD(T$8,$D35)=0)*$B35*$C35*HYDROPONIC_AREA</f>
        <v/>
      </c>
      <c r="U35" s="98">
        <f>(MOD(U$8,$D35)=0)*$B35*$C35*HYDROPONIC_AREA</f>
        <v/>
      </c>
    </row>
    <row r="36">
      <c r="A36" s="267" t="inlineStr">
        <is>
          <t>De-humidifier</t>
        </is>
      </c>
      <c r="B36" s="310" t="n">
        <v>10</v>
      </c>
      <c r="C36" s="310" t="n">
        <v>1</v>
      </c>
      <c r="D36" s="310" t="n">
        <v>10</v>
      </c>
      <c r="E36" s="310" t="n">
        <v>20</v>
      </c>
      <c r="F36" s="130">
        <f>E36*HYDROPONIC_AREA*8*365/1000</f>
        <v/>
      </c>
      <c r="G36" s="141" t="n">
        <v>1</v>
      </c>
      <c r="H36" s="354">
        <f>C36*G36</f>
        <v/>
      </c>
      <c r="I36" s="5" t="n">
        <v>0</v>
      </c>
      <c r="K36" s="98">
        <f>(MOD(K$8,$D36)=0)*$B36*$C36*HYDROPONIC_AREA</f>
        <v/>
      </c>
      <c r="L36" s="98">
        <f>(MOD(L$8,$D36)=0)*$B36*$C36*HYDROPONIC_AREA</f>
        <v/>
      </c>
      <c r="M36" s="98">
        <f>(MOD(M$8,$D36)=0)*$B36*$C36*HYDROPONIC_AREA</f>
        <v/>
      </c>
      <c r="N36" s="98">
        <f>(MOD(N$8,$D36)=0)*$B36*$C36*HYDROPONIC_AREA</f>
        <v/>
      </c>
      <c r="O36" s="98">
        <f>(MOD(O$8,$D36)=0)*$B36*$C36*HYDROPONIC_AREA</f>
        <v/>
      </c>
      <c r="P36" s="98">
        <f>(MOD(P$8,$D36)=0)*$B36*$C36*HYDROPONIC_AREA</f>
        <v/>
      </c>
      <c r="Q36" s="98">
        <f>(MOD(Q$8,$D36)=0)*$B36*$C36*HYDROPONIC_AREA</f>
        <v/>
      </c>
      <c r="R36" s="98">
        <f>(MOD(R$8,$D36)=0)*$B36*$C36*HYDROPONIC_AREA</f>
        <v/>
      </c>
      <c r="S36" s="98">
        <f>(MOD(S$8,$D36)=0)*$B36*$C36*HYDROPONIC_AREA</f>
        <v/>
      </c>
      <c r="T36" s="98">
        <f>(MOD(T$8,$D36)=0)*$B36*$C36*HYDROPONIC_AREA</f>
        <v/>
      </c>
      <c r="U36" s="98">
        <f>(MOD(U$8,$D36)=0)*$B36*$C36*HYDROPONIC_AREA</f>
        <v/>
      </c>
    </row>
    <row r="37">
      <c r="A37" s="203" t="inlineStr">
        <is>
          <t>Greenhouse</t>
        </is>
      </c>
      <c r="B37" s="310" t="n">
        <v>15</v>
      </c>
      <c r="C37" s="310" t="n">
        <v>0</v>
      </c>
      <c r="D37" s="310" t="n">
        <v>10</v>
      </c>
      <c r="E37" s="311" t="n"/>
      <c r="F37" s="311" t="n"/>
      <c r="G37" s="141" t="n">
        <v>1.05</v>
      </c>
      <c r="H37" s="354">
        <f>C37*G37</f>
        <v/>
      </c>
      <c r="I37" s="5" t="n">
        <v>0</v>
      </c>
      <c r="K37" s="98">
        <f>(MOD(K$8,$D37)=0)*$B37*$C37*HYDROPONIC_AREA</f>
        <v/>
      </c>
      <c r="L37" s="98">
        <f>(MOD(L$8,$D37)=0)*$B37*$C37*HYDROPONIC_AREA</f>
        <v/>
      </c>
      <c r="M37" s="98">
        <f>(MOD(M$8,$D37)=0)*$B37*$C37*HYDROPONIC_AREA</f>
        <v/>
      </c>
      <c r="N37" s="98">
        <f>(MOD(N$8,$D37)=0)*$B37*$C37*HYDROPONIC_AREA</f>
        <v/>
      </c>
      <c r="O37" s="98">
        <f>(MOD(O$8,$D37)=0)*$B37*$C37*HYDROPONIC_AREA</f>
        <v/>
      </c>
      <c r="P37" s="98">
        <f>(MOD(P$8,$D37)=0)*$B37*$C37*HYDROPONIC_AREA</f>
        <v/>
      </c>
      <c r="Q37" s="98">
        <f>(MOD(Q$8,$D37)=0)*$B37*$C37*HYDROPONIC_AREA</f>
        <v/>
      </c>
      <c r="R37" s="98">
        <f>(MOD(R$8,$D37)=0)*$B37*$C37*HYDROPONIC_AREA</f>
        <v/>
      </c>
      <c r="S37" s="98">
        <f>(MOD(S$8,$D37)=0)*$B37*$C37*HYDROPONIC_AREA</f>
        <v/>
      </c>
      <c r="T37" s="98">
        <f>(MOD(T$8,$D37)=0)*$B37*$C37*HYDROPONIC_AREA</f>
        <v/>
      </c>
      <c r="U37" s="98">
        <f>(MOD(U$8,$D37)=0)*$B37*$C37*HYDROPONIC_AREA</f>
        <v/>
      </c>
    </row>
    <row r="38">
      <c r="A38" s="203" t="inlineStr">
        <is>
          <t>Lighting</t>
        </is>
      </c>
      <c r="B38" s="310" t="n">
        <v>20</v>
      </c>
      <c r="C38" s="310" t="n">
        <v>0</v>
      </c>
      <c r="D38" s="310" t="n">
        <v>5</v>
      </c>
      <c r="E38" s="310" t="n">
        <v>100</v>
      </c>
      <c r="F38" s="130">
        <f>E38*HYDROPONIC_AREA*12*365/1000</f>
        <v/>
      </c>
      <c r="G38" s="141" t="n">
        <v>0.98</v>
      </c>
      <c r="H38" s="354">
        <f>C38*G38</f>
        <v/>
      </c>
      <c r="I38" s="310" t="n">
        <v>1</v>
      </c>
      <c r="K38" s="98">
        <f>(MOD(K$8,$D38)=0)*$B38*$C38*HYDROPONIC_AREA</f>
        <v/>
      </c>
      <c r="L38" s="98">
        <f>(MOD(L$8,$D38)=0)*$B38*$C38*HYDROPONIC_AREA</f>
        <v/>
      </c>
      <c r="M38" s="98">
        <f>(MOD(M$8,$D38)=0)*$B38*$C38*HYDROPONIC_AREA</f>
        <v/>
      </c>
      <c r="N38" s="98">
        <f>(MOD(N$8,$D38)=0)*$B38*$C38*HYDROPONIC_AREA</f>
        <v/>
      </c>
      <c r="O38" s="98">
        <f>(MOD(O$8,$D38)=0)*$B38*$C38*HYDROPONIC_AREA</f>
        <v/>
      </c>
      <c r="P38" s="98">
        <f>(MOD(P$8,$D38)=0)*$B38*$C38*HYDROPONIC_AREA</f>
        <v/>
      </c>
      <c r="Q38" s="98">
        <f>(MOD(Q$8,$D38)=0)*$B38*$C38*HYDROPONIC_AREA</f>
        <v/>
      </c>
      <c r="R38" s="98">
        <f>(MOD(R$8,$D38)=0)*$B38*$C38*HYDROPONIC_AREA</f>
        <v/>
      </c>
      <c r="S38" s="98">
        <f>(MOD(S$8,$D38)=0)*$B38*$C38*HYDROPONIC_AREA</f>
        <v/>
      </c>
      <c r="T38" s="98">
        <f>(MOD(T$8,$D38)=0)*$B38*$C38*HYDROPONIC_AREA</f>
        <v/>
      </c>
      <c r="U38" s="98">
        <f>(MOD(U$8,$D38)=0)*$B38*$C38*HYDROPONIC_AREA</f>
        <v/>
      </c>
    </row>
    <row r="39">
      <c r="A39" s="2" t="inlineStr">
        <is>
          <t>1/System unit</t>
        </is>
      </c>
      <c r="B39" s="130">
        <f>HYDROPONICS_UNIT</f>
        <v/>
      </c>
      <c r="C39" s="5" t="n"/>
      <c r="D39" s="310" t="n"/>
      <c r="E39" s="310" t="n"/>
      <c r="F39" s="310" t="n"/>
      <c r="G39" s="5" t="n"/>
      <c r="H39" s="5" t="n"/>
      <c r="I39" s="5" t="n"/>
      <c r="J39" s="5" t="n"/>
      <c r="K39" s="212">
        <f>SUM(K40:K47)</f>
        <v/>
      </c>
      <c r="L39" s="212">
        <f>SUM(L40:L47)</f>
        <v/>
      </c>
      <c r="M39" s="212">
        <f>SUM(M40:M47)</f>
        <v/>
      </c>
      <c r="N39" s="212">
        <f>SUM(N40:N47)</f>
        <v/>
      </c>
      <c r="O39" s="212">
        <f>SUM(O40:O47)</f>
        <v/>
      </c>
      <c r="P39" s="212">
        <f>SUM(P40:P47)</f>
        <v/>
      </c>
      <c r="Q39" s="212">
        <f>SUM(Q40:Q47)</f>
        <v/>
      </c>
      <c r="R39" s="212">
        <f>SUM(R40:R47)</f>
        <v/>
      </c>
      <c r="S39" s="212">
        <f>SUM(S40:S47)</f>
        <v/>
      </c>
      <c r="T39" s="212">
        <f>SUM(T40:T47)</f>
        <v/>
      </c>
      <c r="U39" s="212">
        <f>SUM(U40:U47)</f>
        <v/>
      </c>
    </row>
    <row r="40">
      <c r="A40" s="267" t="inlineStr">
        <is>
          <t>Sump</t>
        </is>
      </c>
      <c r="B40" s="310" t="n">
        <v>15</v>
      </c>
      <c r="C40" s="5" t="n">
        <v>1</v>
      </c>
      <c r="D40" s="310" t="n">
        <v>5</v>
      </c>
      <c r="E40" s="310" t="n"/>
      <c r="F40" s="310" t="n"/>
      <c r="G40" s="354" t="n"/>
      <c r="H40" s="354" t="n"/>
      <c r="I40" s="5" t="n">
        <v>0</v>
      </c>
      <c r="K40" s="98">
        <f>(MOD(K$8,$D40)=0)*$B40*$C40*HYDROPONICS_UNIT</f>
        <v/>
      </c>
      <c r="L40" s="98">
        <f>(MOD(L$8,$D40)=0)*$B40*$C40*HYDROPONICS_UNIT</f>
        <v/>
      </c>
      <c r="M40" s="98">
        <f>(MOD(M$8,$D40)=0)*$B40*$C40*HYDROPONICS_UNIT</f>
        <v/>
      </c>
      <c r="N40" s="98">
        <f>(MOD(N$8,$D40)=0)*$B40*$C40*HYDROPONICS_UNIT</f>
        <v/>
      </c>
      <c r="O40" s="98">
        <f>(MOD(O$8,$D40)=0)*$B40*$C40*HYDROPONICS_UNIT</f>
        <v/>
      </c>
      <c r="P40" s="98">
        <f>(MOD(P$8,$D40)=0)*$B40*$C40*HYDROPONICS_UNIT</f>
        <v/>
      </c>
      <c r="Q40" s="98">
        <f>(MOD(Q$8,$D40)=0)*$B40*$C40*HYDROPONICS_UNIT</f>
        <v/>
      </c>
      <c r="R40" s="98">
        <f>(MOD(R$8,$D40)=0)*$B40*$C40*HYDROPONICS_UNIT</f>
        <v/>
      </c>
      <c r="S40" s="98">
        <f>(MOD(S$8,$D40)=0)*$B40*$C40*HYDROPONICS_UNIT</f>
        <v/>
      </c>
      <c r="T40" s="98">
        <f>(MOD(T$8,$D40)=0)*$B40*$C40*HYDROPONICS_UNIT</f>
        <v/>
      </c>
      <c r="U40" s="98">
        <f>(MOD(U$8,$D40)=0)*$B40*$C40*HYDROPONICS_UNIT</f>
        <v/>
      </c>
    </row>
    <row r="41">
      <c r="A41" s="267" t="inlineStr">
        <is>
          <t>Pump</t>
        </is>
      </c>
      <c r="B41" s="310" t="n">
        <v>15</v>
      </c>
      <c r="C41" s="5" t="n">
        <v>1</v>
      </c>
      <c r="D41" s="310" t="n">
        <v>3</v>
      </c>
      <c r="E41" s="310" t="n"/>
      <c r="F41" s="310" t="n"/>
      <c r="G41" s="354" t="n"/>
      <c r="H41" s="354" t="n"/>
      <c r="I41" s="5" t="n">
        <v>1</v>
      </c>
      <c r="K41" s="98">
        <f>(MOD(K$8,$D41)=0)*$B41*$C41*HYDROPONICS_UNIT</f>
        <v/>
      </c>
      <c r="L41" s="98">
        <f>(MOD(L$8,$D41)=0)*$B41*$C41*HYDROPONICS_UNIT</f>
        <v/>
      </c>
      <c r="M41" s="98">
        <f>(MOD(M$8,$D41)=0)*$B41*$C41*HYDROPONICS_UNIT</f>
        <v/>
      </c>
      <c r="N41" s="98">
        <f>(MOD(N$8,$D41)=0)*$B41*$C41*HYDROPONICS_UNIT</f>
        <v/>
      </c>
      <c r="O41" s="98">
        <f>(MOD(O$8,$D41)=0)*$B41*$C41*HYDROPONICS_UNIT</f>
        <v/>
      </c>
      <c r="P41" s="98">
        <f>(MOD(P$8,$D41)=0)*$B41*$C41*HYDROPONICS_UNIT</f>
        <v/>
      </c>
      <c r="Q41" s="98">
        <f>(MOD(Q$8,$D41)=0)*$B41*$C41*HYDROPONICS_UNIT</f>
        <v/>
      </c>
      <c r="R41" s="98">
        <f>(MOD(R$8,$D41)=0)*$B41*$C41*HYDROPONICS_UNIT</f>
        <v/>
      </c>
      <c r="S41" s="98">
        <f>(MOD(S$8,$D41)=0)*$B41*$C41*HYDROPONICS_UNIT</f>
        <v/>
      </c>
      <c r="T41" s="98">
        <f>(MOD(T$8,$D41)=0)*$B41*$C41*HYDROPONICS_UNIT</f>
        <v/>
      </c>
      <c r="U41" s="98">
        <f>(MOD(U$8,$D41)=0)*$B41*$C41*HYDROPONICS_UNIT</f>
        <v/>
      </c>
    </row>
    <row r="42">
      <c r="A42" s="267" t="inlineStr">
        <is>
          <t>EC sensor</t>
        </is>
      </c>
      <c r="B42" s="310" t="n">
        <v>15</v>
      </c>
      <c r="C42" s="5" t="n">
        <v>1</v>
      </c>
      <c r="D42" s="310" t="n">
        <v>2</v>
      </c>
      <c r="E42" s="310" t="n"/>
      <c r="F42" s="310" t="n"/>
      <c r="G42" s="354" t="n"/>
      <c r="H42" s="354" t="n"/>
      <c r="I42" s="5" t="n">
        <v>1</v>
      </c>
      <c r="K42" s="98">
        <f>(MOD(K$8,$D42)=0)*$B42*$C42*HYDROPONICS_UNIT</f>
        <v/>
      </c>
      <c r="L42" s="98">
        <f>(MOD(L$8,$D42)=0)*$B42*$C42*HYDROPONICS_UNIT</f>
        <v/>
      </c>
      <c r="M42" s="98">
        <f>(MOD(M$8,$D42)=0)*$B42*$C42*HYDROPONICS_UNIT</f>
        <v/>
      </c>
      <c r="N42" s="98">
        <f>(MOD(N$8,$D42)=0)*$B42*$C42*HYDROPONICS_UNIT</f>
        <v/>
      </c>
      <c r="O42" s="98">
        <f>(MOD(O$8,$D42)=0)*$B42*$C42*HYDROPONICS_UNIT</f>
        <v/>
      </c>
      <c r="P42" s="98">
        <f>(MOD(P$8,$D42)=0)*$B42*$C42*HYDROPONICS_UNIT</f>
        <v/>
      </c>
      <c r="Q42" s="98">
        <f>(MOD(Q$8,$D42)=0)*$B42*$C42*HYDROPONICS_UNIT</f>
        <v/>
      </c>
      <c r="R42" s="98">
        <f>(MOD(R$8,$D42)=0)*$B42*$C42*HYDROPONICS_UNIT</f>
        <v/>
      </c>
      <c r="S42" s="98">
        <f>(MOD(S$8,$D42)=0)*$B42*$C42*HYDROPONICS_UNIT</f>
        <v/>
      </c>
      <c r="T42" s="98">
        <f>(MOD(T$8,$D42)=0)*$B42*$C42*HYDROPONICS_UNIT</f>
        <v/>
      </c>
      <c r="U42" s="98">
        <f>(MOD(U$8,$D42)=0)*$B42*$C42*HYDROPONICS_UNIT</f>
        <v/>
      </c>
    </row>
    <row r="43">
      <c r="A43" s="203" t="inlineStr">
        <is>
          <t>pH sensor</t>
        </is>
      </c>
      <c r="B43" s="310" t="n">
        <v>15</v>
      </c>
      <c r="C43" s="5" t="n">
        <v>1</v>
      </c>
      <c r="D43" s="310" t="n">
        <v>2</v>
      </c>
      <c r="E43" s="310" t="n"/>
      <c r="F43" s="310" t="n"/>
      <c r="G43" s="141" t="n">
        <v>1.02</v>
      </c>
      <c r="H43" s="354">
        <f>C43*G43</f>
        <v/>
      </c>
      <c r="I43" s="5" t="n">
        <v>1</v>
      </c>
      <c r="K43" s="98">
        <f>(MOD(K$8,$D43)=0)*$B43*$C43*HYDROPONICS_UNIT</f>
        <v/>
      </c>
      <c r="L43" s="98">
        <f>(MOD(L$8,$D43)=0)*$B43*$C43*HYDROPONICS_UNIT</f>
        <v/>
      </c>
      <c r="M43" s="98">
        <f>(MOD(M$8,$D43)=0)*$B43*$C43*HYDROPONICS_UNIT</f>
        <v/>
      </c>
      <c r="N43" s="98">
        <f>(MOD(N$8,$D43)=0)*$B43*$C43*HYDROPONICS_UNIT</f>
        <v/>
      </c>
      <c r="O43" s="98">
        <f>(MOD(O$8,$D43)=0)*$B43*$C43*HYDROPONICS_UNIT</f>
        <v/>
      </c>
      <c r="P43" s="98">
        <f>(MOD(P$8,$D43)=0)*$B43*$C43*HYDROPONICS_UNIT</f>
        <v/>
      </c>
      <c r="Q43" s="98">
        <f>(MOD(Q$8,$D43)=0)*$B43*$C43*HYDROPONICS_UNIT</f>
        <v/>
      </c>
      <c r="R43" s="98">
        <f>(MOD(R$8,$D43)=0)*$B43*$C43*HYDROPONICS_UNIT</f>
        <v/>
      </c>
      <c r="S43" s="98">
        <f>(MOD(S$8,$D43)=0)*$B43*$C43*HYDROPONICS_UNIT</f>
        <v/>
      </c>
      <c r="T43" s="98">
        <f>(MOD(T$8,$D43)=0)*$B43*$C43*HYDROPONICS_UNIT</f>
        <v/>
      </c>
      <c r="U43" s="98">
        <f>(MOD(U$8,$D43)=0)*$B43*$C43*HYDROPONICS_UNIT</f>
        <v/>
      </c>
    </row>
    <row r="44" hidden="1" outlineLevel="1" s="313">
      <c r="A44" s="267" t="inlineStr">
        <is>
          <t>Nutrient dosing unit</t>
        </is>
      </c>
      <c r="B44" s="310" t="n"/>
      <c r="C44" s="310" t="n">
        <v>0</v>
      </c>
      <c r="D44" s="310" t="n">
        <v>1</v>
      </c>
      <c r="E44" s="310" t="n"/>
      <c r="F44" s="310" t="n"/>
      <c r="G44" s="141" t="n">
        <v>1</v>
      </c>
      <c r="H44" s="354">
        <f>C44*G44</f>
        <v/>
      </c>
      <c r="I44" s="5" t="inlineStr">
        <is>
          <t>No</t>
        </is>
      </c>
      <c r="K44" s="98">
        <f>(MOD(K$8,$D44)=0)*$B44*$C44*HYDROPONICS_UNIT</f>
        <v/>
      </c>
      <c r="L44" s="98">
        <f>(MOD(L$8,$D44)=0)*$B44*$C44*HYDROPONICS_UNIT</f>
        <v/>
      </c>
      <c r="M44" s="98">
        <f>(MOD(M$8,$D44)=0)*$B44*$C44*HYDROPONICS_UNIT</f>
        <v/>
      </c>
      <c r="N44" s="98">
        <f>(MOD(N$8,$D44)=0)*$B44*$C44*HYDROPONICS_UNIT</f>
        <v/>
      </c>
      <c r="O44" s="98">
        <f>(MOD(O$8,$D44)=0)*$B44*$C44*HYDROPONICS_UNIT</f>
        <v/>
      </c>
      <c r="P44" s="98">
        <f>(MOD(P$8,$D44)=0)*$B44*$C44*HYDROPONICS_UNIT</f>
        <v/>
      </c>
      <c r="Q44" s="98">
        <f>(MOD(Q$8,$D44)=0)*$B44*$C44*HYDROPONICS_UNIT</f>
        <v/>
      </c>
      <c r="R44" s="98">
        <f>(MOD(R$8,$D44)=0)*$B44*$C44*HYDROPONICS_UNIT</f>
        <v/>
      </c>
      <c r="S44" s="98">
        <f>(MOD(S$8,$D44)=0)*$B44*$C44*HYDROPONICS_UNIT</f>
        <v/>
      </c>
      <c r="T44" s="98">
        <f>(MOD(T$8,$D44)=0)*$B44*$C44*HYDROPONICS_UNIT</f>
        <v/>
      </c>
      <c r="U44" s="98">
        <f>(MOD(U$8,$D44)=0)*$B44*$C44*HYDROPONICS_UNIT</f>
        <v/>
      </c>
    </row>
    <row r="45" hidden="1" outlineLevel="1" s="313">
      <c r="A45" s="267" t="inlineStr">
        <is>
          <t>Hanging or moving Gutter system</t>
        </is>
      </c>
      <c r="B45" s="310" t="n"/>
      <c r="C45" s="310" t="n">
        <v>0</v>
      </c>
      <c r="D45" s="310" t="n">
        <v>5</v>
      </c>
      <c r="E45" s="310" t="n">
        <v>3</v>
      </c>
      <c r="F45" s="130">
        <f>E45*HYDROPONIC_AREA*24*365/1000</f>
        <v/>
      </c>
      <c r="G45" s="141" t="n">
        <v>1</v>
      </c>
      <c r="H45" s="354">
        <f>C45*G45</f>
        <v/>
      </c>
      <c r="I45" s="5" t="inlineStr">
        <is>
          <t>Yes</t>
        </is>
      </c>
      <c r="K45" s="98">
        <f>(MOD(K$8,$D45)=0)*$B45*$C45*HYDROPONICS_UNIT</f>
        <v/>
      </c>
      <c r="L45" s="98">
        <f>(MOD(L$8,$D45)=0)*$B45*$C45*HYDROPONICS_UNIT</f>
        <v/>
      </c>
      <c r="M45" s="98">
        <f>(MOD(M$8,$D45)=0)*$B45*$C45*HYDROPONICS_UNIT</f>
        <v/>
      </c>
      <c r="N45" s="98">
        <f>(MOD(N$8,$D45)=0)*$B45*$C45*HYDROPONICS_UNIT</f>
        <v/>
      </c>
      <c r="O45" s="98">
        <f>(MOD(O$8,$D45)=0)*$B45*$C45*HYDROPONICS_UNIT</f>
        <v/>
      </c>
      <c r="P45" s="98">
        <f>(MOD(P$8,$D45)=0)*$B45*$C45*HYDROPONICS_UNIT</f>
        <v/>
      </c>
      <c r="Q45" s="98">
        <f>(MOD(Q$8,$D45)=0)*$B45*$C45*HYDROPONICS_UNIT</f>
        <v/>
      </c>
      <c r="R45" s="98">
        <f>(MOD(R$8,$D45)=0)*$B45*$C45*HYDROPONICS_UNIT</f>
        <v/>
      </c>
      <c r="S45" s="98">
        <f>(MOD(S$8,$D45)=0)*$B45*$C45*HYDROPONICS_UNIT</f>
        <v/>
      </c>
      <c r="T45" s="98">
        <f>(MOD(T$8,$D45)=0)*$B45*$C45*HYDROPONICS_UNIT</f>
        <v/>
      </c>
      <c r="U45" s="98">
        <f>(MOD(U$8,$D45)=0)*$B45*$C45*HYDROPONICS_UNIT</f>
        <v/>
      </c>
    </row>
    <row r="46" hidden="1" outlineLevel="1" s="313">
      <c r="A46" s="267" t="inlineStr">
        <is>
          <t>UV-sterilization</t>
        </is>
      </c>
      <c r="B46" s="310" t="n"/>
      <c r="C46" s="310" t="n">
        <v>0</v>
      </c>
      <c r="D46" s="310" t="n">
        <v>10</v>
      </c>
      <c r="E46" s="310" t="n"/>
      <c r="F46" s="310" t="n"/>
      <c r="G46" s="141" t="n">
        <v>1</v>
      </c>
      <c r="H46" s="354">
        <f>C46*G46</f>
        <v/>
      </c>
      <c r="I46" s="5" t="inlineStr">
        <is>
          <t>No</t>
        </is>
      </c>
      <c r="K46" s="98">
        <f>(MOD(K$8,$D46)=0)*$B46*$C46*HYDROPONICS_UNIT</f>
        <v/>
      </c>
      <c r="L46" s="98">
        <f>(MOD(L$8,$D46)=0)*$B46*$C46*HYDROPONICS_UNIT</f>
        <v/>
      </c>
      <c r="M46" s="98">
        <f>(MOD(M$8,$D46)=0)*$B46*$C46*HYDROPONICS_UNIT</f>
        <v/>
      </c>
      <c r="N46" s="98">
        <f>(MOD(N$8,$D46)=0)*$B46*$C46*HYDROPONICS_UNIT</f>
        <v/>
      </c>
      <c r="O46" s="98">
        <f>(MOD(O$8,$D46)=0)*$B46*$C46*HYDROPONICS_UNIT</f>
        <v/>
      </c>
      <c r="P46" s="98">
        <f>(MOD(P$8,$D46)=0)*$B46*$C46*HYDROPONICS_UNIT</f>
        <v/>
      </c>
      <c r="Q46" s="98">
        <f>(MOD(Q$8,$D46)=0)*$B46*$C46*HYDROPONICS_UNIT</f>
        <v/>
      </c>
      <c r="R46" s="98">
        <f>(MOD(R$8,$D46)=0)*$B46*$C46*HYDROPONICS_UNIT</f>
        <v/>
      </c>
      <c r="S46" s="98">
        <f>(MOD(S$8,$D46)=0)*$B46*$C46*HYDROPONICS_UNIT</f>
        <v/>
      </c>
      <c r="T46" s="98">
        <f>(MOD(T$8,$D46)=0)*$B46*$C46*HYDROPONICS_UNIT</f>
        <v/>
      </c>
      <c r="U46" s="98">
        <f>(MOD(U$8,$D46)=0)*$B46*$C46*HYDROPONICS_UNIT</f>
        <v/>
      </c>
    </row>
    <row r="47" hidden="1" outlineLevel="1" s="313">
      <c r="A47" s="267" t="inlineStr">
        <is>
          <t>Pollination vibrator</t>
        </is>
      </c>
      <c r="B47" s="310" t="n"/>
      <c r="C47" s="310" t="n">
        <v>0</v>
      </c>
      <c r="D47" s="310" t="n">
        <v>5</v>
      </c>
      <c r="E47" s="310" t="n"/>
      <c r="F47" s="310" t="n"/>
      <c r="G47" s="141" t="n">
        <v>1</v>
      </c>
      <c r="H47" s="354">
        <f>C47*G47</f>
        <v/>
      </c>
      <c r="I47" s="5" t="inlineStr">
        <is>
          <t>Yes</t>
        </is>
      </c>
      <c r="K47" s="98">
        <f>(MOD(K$8,$D47)=0)*$B47*$C47*HYDROPONICS_UNIT</f>
        <v/>
      </c>
      <c r="L47" s="98">
        <f>(MOD(L$8,$D47)=0)*$B47*$C47*HYDROPONICS_UNIT</f>
        <v/>
      </c>
      <c r="M47" s="98">
        <f>(MOD(M$8,$D47)=0)*$B47*$C47*HYDROPONICS_UNIT</f>
        <v/>
      </c>
      <c r="N47" s="98">
        <f>(MOD(N$8,$D47)=0)*$B47*$C47*HYDROPONICS_UNIT</f>
        <v/>
      </c>
      <c r="O47" s="98">
        <f>(MOD(O$8,$D47)=0)*$B47*$C47*HYDROPONICS_UNIT</f>
        <v/>
      </c>
      <c r="P47" s="98">
        <f>(MOD(P$8,$D47)=0)*$B47*$C47*HYDROPONICS_UNIT</f>
        <v/>
      </c>
      <c r="Q47" s="98">
        <f>(MOD(Q$8,$D47)=0)*$B47*$C47*HYDROPONICS_UNIT</f>
        <v/>
      </c>
      <c r="R47" s="98">
        <f>(MOD(R$8,$D47)=0)*$B47*$C47*HYDROPONICS_UNIT</f>
        <v/>
      </c>
      <c r="S47" s="98">
        <f>(MOD(S$8,$D47)=0)*$B47*$C47*HYDROPONICS_UNIT</f>
        <v/>
      </c>
      <c r="T47" s="98">
        <f>(MOD(T$8,$D47)=0)*$B47*$C47*HYDROPONICS_UNIT</f>
        <v/>
      </c>
      <c r="U47" s="98">
        <f>(MOD(U$8,$D47)=0)*$B47*$C47*HYDROPONICS_UNIT</f>
        <v/>
      </c>
    </row>
    <row r="48" collapsed="1" s="313">
      <c r="E48" s="310" t="n"/>
      <c r="F48" s="310" t="n"/>
    </row>
    <row r="49" ht="15.75" customHeight="1" s="313">
      <c r="A49" s="306" t="inlineStr">
        <is>
          <t>System sinergies (Sludge, Nutrients, etc.)</t>
        </is>
      </c>
      <c r="B49" s="120" t="n"/>
      <c r="C49" s="120" t="n"/>
      <c r="D49" s="120" t="n"/>
      <c r="E49" s="120" t="n"/>
      <c r="F49" s="130" t="n"/>
      <c r="G49" s="120" t="n"/>
      <c r="H49" s="120" t="n"/>
      <c r="I49" s="354">
        <f>SUMPRODUCT(C51:C63,I51:I63)/SUM(C51:C63)</f>
        <v/>
      </c>
      <c r="K49" s="212">
        <f>K50+K60</f>
        <v/>
      </c>
      <c r="L49" s="212">
        <f>L50+L60</f>
        <v/>
      </c>
      <c r="M49" s="212">
        <f>M50+M60</f>
        <v/>
      </c>
      <c r="N49" s="212">
        <f>N50+N60</f>
        <v/>
      </c>
      <c r="O49" s="212">
        <f>O50+O60</f>
        <v/>
      </c>
      <c r="P49" s="212">
        <f>P50+P60</f>
        <v/>
      </c>
      <c r="Q49" s="212">
        <f>Q50+Q60</f>
        <v/>
      </c>
      <c r="R49" s="212">
        <f>R50+R60</f>
        <v/>
      </c>
      <c r="S49" s="212">
        <f>S50+S60</f>
        <v/>
      </c>
      <c r="T49" s="212">
        <f>T50+T60</f>
        <v/>
      </c>
      <c r="U49" s="212">
        <f>U50+U60</f>
        <v/>
      </c>
    </row>
    <row r="50" ht="15.75" customHeight="1" s="313">
      <c r="A50" s="2" t="inlineStr">
        <is>
          <t>1/Fish tank</t>
        </is>
      </c>
      <c r="F50" s="130" t="n"/>
      <c r="K50" s="212">
        <f>SUM(K51:K57)</f>
        <v/>
      </c>
      <c r="L50" s="212">
        <f>SUM(L51:L57)</f>
        <v/>
      </c>
      <c r="M50" s="212">
        <f>SUM(M51:M57)</f>
        <v/>
      </c>
      <c r="N50" s="212">
        <f>SUM(N51:N57)</f>
        <v/>
      </c>
      <c r="O50" s="212">
        <f>SUM(O51:O57)</f>
        <v/>
      </c>
      <c r="P50" s="212">
        <f>SUM(P51:P57)</f>
        <v/>
      </c>
      <c r="Q50" s="212">
        <f>SUM(Q51:Q57)</f>
        <v/>
      </c>
      <c r="R50" s="212">
        <f>SUM(R51:R57)</f>
        <v/>
      </c>
      <c r="S50" s="212">
        <f>SUM(S51:S57)</f>
        <v/>
      </c>
      <c r="T50" s="212">
        <f>SUM(T51:T57)</f>
        <v/>
      </c>
      <c r="U50" s="212">
        <f>SUM(U51:U57)</f>
        <v/>
      </c>
    </row>
    <row r="51" ht="15.75" customHeight="1" s="313">
      <c r="A51" s="267" t="inlineStr">
        <is>
          <t>Biologic Surface Area (100 m³/10 m³ fish tank)</t>
        </is>
      </c>
      <c r="B51" s="310" t="n">
        <v>10</v>
      </c>
      <c r="C51" s="5" t="n">
        <v>1</v>
      </c>
      <c r="D51" s="123" t="n">
        <v>1</v>
      </c>
      <c r="E51" s="123" t="n"/>
      <c r="F51" s="130" t="n"/>
      <c r="G51" s="141" t="n">
        <v>1</v>
      </c>
      <c r="H51" s="354">
        <f>C51*G51</f>
        <v/>
      </c>
      <c r="I51" s="5" t="n">
        <v>0</v>
      </c>
      <c r="K51" s="98">
        <f>(MOD(K$8,$D51)=0)*$B51*$C51*FISH_TANK</f>
        <v/>
      </c>
      <c r="L51" s="98">
        <f>(MOD(L$8,$D51)=0)*$B51*$C51*FISH_TANK</f>
        <v/>
      </c>
      <c r="M51" s="98">
        <f>(MOD(M$8,$D51)=0)*$B51*$C51*FISH_TANK</f>
        <v/>
      </c>
      <c r="N51" s="98">
        <f>(MOD(N$8,$D51)=0)*$B51*$C51*FISH_TANK</f>
        <v/>
      </c>
      <c r="O51" s="98">
        <f>(MOD(O$8,$D51)=0)*$B51*$C51*FISH_TANK</f>
        <v/>
      </c>
      <c r="P51" s="98">
        <f>(MOD(P$8,$D51)=0)*$B51*$C51*FISH_TANK</f>
        <v/>
      </c>
      <c r="Q51" s="98">
        <f>(MOD(Q$8,$D51)=0)*$B51*$C51*FISH_TANK</f>
        <v/>
      </c>
      <c r="R51" s="98">
        <f>(MOD(R$8,$D51)=0)*$B51*$C51*FISH_TANK</f>
        <v/>
      </c>
      <c r="S51" s="98">
        <f>(MOD(S$8,$D51)=0)*$B51*$C51*FISH_TANK</f>
        <v/>
      </c>
      <c r="T51" s="98">
        <f>(MOD(T$8,$D51)=0)*$B51*$C51*FISH_TANK</f>
        <v/>
      </c>
      <c r="U51" s="98">
        <f>(MOD(U$8,$D51)=0)*$B51*$C51*FISH_TANK</f>
        <v/>
      </c>
    </row>
    <row r="52" ht="15.75" customHeight="1" s="313">
      <c r="A52" s="203" t="inlineStr">
        <is>
          <t>Periphyton Surface Area</t>
        </is>
      </c>
      <c r="B52" s="310" t="n">
        <v>10</v>
      </c>
      <c r="C52" s="310" t="n">
        <v>1</v>
      </c>
      <c r="D52" s="310" t="n">
        <v>20</v>
      </c>
      <c r="E52" s="310" t="n"/>
      <c r="F52" s="130" t="n"/>
      <c r="G52" s="141" t="n">
        <v>1.01</v>
      </c>
      <c r="H52" s="354">
        <f>C52*G52</f>
        <v/>
      </c>
      <c r="I52" s="5" t="n">
        <v>0</v>
      </c>
      <c r="K52" s="98">
        <f>(MOD(K$8,$D52)=0)*$B52*$C52*FISH_TANK</f>
        <v/>
      </c>
      <c r="L52" s="98">
        <f>(MOD(L$8,$D52)=0)*$B52*$C52*FISH_TANK</f>
        <v/>
      </c>
      <c r="M52" s="98">
        <f>(MOD(M$8,$D52)=0)*$B52*$C52*FISH_TANK</f>
        <v/>
      </c>
      <c r="N52" s="98">
        <f>(MOD(N$8,$D52)=0)*$B52*$C52*FISH_TANK</f>
        <v/>
      </c>
      <c r="O52" s="98">
        <f>(MOD(O$8,$D52)=0)*$B52*$C52*FISH_TANK</f>
        <v/>
      </c>
      <c r="P52" s="98">
        <f>(MOD(P$8,$D52)=0)*$B52*$C52*FISH_TANK</f>
        <v/>
      </c>
      <c r="Q52" s="98">
        <f>(MOD(Q$8,$D52)=0)*$B52*$C52*FISH_TANK</f>
        <v/>
      </c>
      <c r="R52" s="98">
        <f>(MOD(R$8,$D52)=0)*$B52*$C52*FISH_TANK</f>
        <v/>
      </c>
      <c r="S52" s="98">
        <f>(MOD(S$8,$D52)=0)*$B52*$C52*FISH_TANK</f>
        <v/>
      </c>
      <c r="T52" s="98">
        <f>(MOD(T$8,$D52)=0)*$B52*$C52*FISH_TANK</f>
        <v/>
      </c>
      <c r="U52" s="98">
        <f>(MOD(U$8,$D52)=0)*$B52*$C52*FISH_TANK</f>
        <v/>
      </c>
    </row>
    <row r="53" ht="15.75" customHeight="1" s="313">
      <c r="A53" s="203" t="inlineStr">
        <is>
          <t>Biofloc</t>
        </is>
      </c>
      <c r="B53" s="310" t="n">
        <v>10</v>
      </c>
      <c r="C53" s="310" t="n">
        <v>0</v>
      </c>
      <c r="D53" s="310" t="n">
        <v>20</v>
      </c>
      <c r="E53" s="310" t="n"/>
      <c r="F53" s="130" t="n"/>
      <c r="G53" s="141" t="n">
        <v>1.02</v>
      </c>
      <c r="H53" s="354">
        <f>C53*G53</f>
        <v/>
      </c>
      <c r="I53" s="5" t="n">
        <v>0</v>
      </c>
      <c r="K53" s="98">
        <f>(MOD(K$8,$D53)=0)*$B53*$C53*FISH_TANK</f>
        <v/>
      </c>
      <c r="L53" s="98">
        <f>(MOD(L$8,$D53)=0)*$B53*$C53*FISH_TANK</f>
        <v/>
      </c>
      <c r="M53" s="98">
        <f>(MOD(M$8,$D53)=0)*$B53*$C53*FISH_TANK</f>
        <v/>
      </c>
      <c r="N53" s="98">
        <f>(MOD(N$8,$D53)=0)*$B53*$C53*FISH_TANK</f>
        <v/>
      </c>
      <c r="O53" s="98">
        <f>(MOD(O$8,$D53)=0)*$B53*$C53*FISH_TANK</f>
        <v/>
      </c>
      <c r="P53" s="98">
        <f>(MOD(P$8,$D53)=0)*$B53*$C53*FISH_TANK</f>
        <v/>
      </c>
      <c r="Q53" s="98">
        <f>(MOD(Q$8,$D53)=0)*$B53*$C53*FISH_TANK</f>
        <v/>
      </c>
      <c r="R53" s="98">
        <f>(MOD(R$8,$D53)=0)*$B53*$C53*FISH_TANK</f>
        <v/>
      </c>
      <c r="S53" s="98">
        <f>(MOD(S$8,$D53)=0)*$B53*$C53*FISH_TANK</f>
        <v/>
      </c>
      <c r="T53" s="98">
        <f>(MOD(T$8,$D53)=0)*$B53*$C53*FISH_TANK</f>
        <v/>
      </c>
      <c r="U53" s="98">
        <f>(MOD(U$8,$D53)=0)*$B53*$C53*FISH_TANK</f>
        <v/>
      </c>
    </row>
    <row r="54" ht="14.25" customHeight="1" s="313">
      <c r="A54" s="203" t="inlineStr">
        <is>
          <t>Aerobic mineralization</t>
        </is>
      </c>
      <c r="B54" s="310" t="n">
        <v>200</v>
      </c>
      <c r="C54" s="310" t="n">
        <v>1</v>
      </c>
      <c r="D54" s="5" t="n">
        <v>10</v>
      </c>
      <c r="E54" s="5" t="n"/>
      <c r="F54" s="130" t="n"/>
      <c r="G54" s="141" t="n">
        <v>1.11</v>
      </c>
      <c r="H54" s="354">
        <f>C54*G54</f>
        <v/>
      </c>
      <c r="I54" s="5" t="n">
        <v>0</v>
      </c>
      <c r="K54" s="98">
        <f>(MOD(K$8,$D54)=0)*$B54*$C54*FISH_TANK</f>
        <v/>
      </c>
      <c r="L54" s="98">
        <f>(MOD(L$8,$D54)=0)*$B54*$C54*FISH_TANK</f>
        <v/>
      </c>
      <c r="M54" s="98">
        <f>(MOD(M$8,$D54)=0)*$B54*$C54*FISH_TANK</f>
        <v/>
      </c>
      <c r="N54" s="98">
        <f>(MOD(N$8,$D54)=0)*$B54*$C54*FISH_TANK</f>
        <v/>
      </c>
      <c r="O54" s="98">
        <f>(MOD(O$8,$D54)=0)*$B54*$C54*FISH_TANK</f>
        <v/>
      </c>
      <c r="P54" s="98">
        <f>(MOD(P$8,$D54)=0)*$B54*$C54*FISH_TANK</f>
        <v/>
      </c>
      <c r="Q54" s="98">
        <f>(MOD(Q$8,$D54)=0)*$B54*$C54*FISH_TANK</f>
        <v/>
      </c>
      <c r="R54" s="98">
        <f>(MOD(R$8,$D54)=0)*$B54*$C54*FISH_TANK</f>
        <v/>
      </c>
      <c r="S54" s="98">
        <f>(MOD(S$8,$D54)=0)*$B54*$C54*FISH_TANK</f>
        <v/>
      </c>
      <c r="T54" s="98">
        <f>(MOD(T$8,$D54)=0)*$B54*$C54*FISH_TANK</f>
        <v/>
      </c>
      <c r="U54" s="98">
        <f>(MOD(U$8,$D54)=0)*$B54*$C54*FISH_TANK</f>
        <v/>
      </c>
    </row>
    <row r="55" outlineLevel="1" s="313">
      <c r="A55" s="267" t="inlineStr">
        <is>
          <t>UASB Mineralization Bioreactor</t>
        </is>
      </c>
      <c r="B55" s="207" t="n"/>
      <c r="C55" s="310" t="n">
        <v>0</v>
      </c>
      <c r="D55" s="5" t="n">
        <v>10</v>
      </c>
      <c r="E55" s="5" t="n"/>
      <c r="F55" s="130" t="n"/>
      <c r="G55" s="141" t="n">
        <v>1</v>
      </c>
      <c r="H55" s="354">
        <f>C55*G55</f>
        <v/>
      </c>
      <c r="I55" s="5" t="n">
        <v>1</v>
      </c>
      <c r="K55" s="98">
        <f>(MOD(K$8,$D55)=0)*$B55*$C55*FISH_TANK</f>
        <v/>
      </c>
      <c r="L55" s="98">
        <f>(MOD(L$8,$D55)=0)*$B55*$C55*FISH_TANK</f>
        <v/>
      </c>
      <c r="M55" s="98">
        <f>(MOD(M$8,$D55)=0)*$B55*$C55*FISH_TANK</f>
        <v/>
      </c>
      <c r="N55" s="98">
        <f>(MOD(N$8,$D55)=0)*$B55*$C55*FISH_TANK</f>
        <v/>
      </c>
      <c r="O55" s="98">
        <f>(MOD(O$8,$D55)=0)*$B55*$C55*FISH_TANK</f>
        <v/>
      </c>
      <c r="P55" s="98">
        <f>(MOD(P$8,$D55)=0)*$B55*$C55*FISH_TANK</f>
        <v/>
      </c>
      <c r="Q55" s="98">
        <f>(MOD(Q$8,$D55)=0)*$B55*$C55*FISH_TANK</f>
        <v/>
      </c>
      <c r="R55" s="98">
        <f>(MOD(R$8,$D55)=0)*$B55*$C55*FISH_TANK</f>
        <v/>
      </c>
      <c r="S55" s="98">
        <f>(MOD(S$8,$D55)=0)*$B55*$C55*FISH_TANK</f>
        <v/>
      </c>
      <c r="T55" s="98">
        <f>(MOD(T$8,$D55)=0)*$B55*$C55*FISH_TANK</f>
        <v/>
      </c>
      <c r="U55" s="98">
        <f>(MOD(U$8,$D55)=0)*$B55*$C55*FISH_TANK</f>
        <v/>
      </c>
    </row>
    <row r="56" outlineLevel="1" s="313">
      <c r="A56" s="267" t="inlineStr">
        <is>
          <t>EGSB Mineralization Bioreactor</t>
        </is>
      </c>
      <c r="B56" s="207" t="n"/>
      <c r="C56" s="310" t="n">
        <v>0</v>
      </c>
      <c r="D56" s="5" t="n">
        <v>10</v>
      </c>
      <c r="E56" s="5" t="n"/>
      <c r="F56" s="130" t="n"/>
      <c r="G56" s="141" t="n">
        <v>1</v>
      </c>
      <c r="H56" s="354">
        <f>C56*G56</f>
        <v/>
      </c>
      <c r="I56" s="5" t="n">
        <v>1</v>
      </c>
      <c r="K56" s="98">
        <f>(MOD(K$8,$D56)=0)*$B56*$C56*FISH_TANK</f>
        <v/>
      </c>
      <c r="L56" s="98">
        <f>(MOD(L$8,$D56)=0)*$B56*$C56*FISH_TANK</f>
        <v/>
      </c>
      <c r="M56" s="98">
        <f>(MOD(M$8,$D56)=0)*$B56*$C56*FISH_TANK</f>
        <v/>
      </c>
      <c r="N56" s="98">
        <f>(MOD(N$8,$D56)=0)*$B56*$C56*FISH_TANK</f>
        <v/>
      </c>
      <c r="O56" s="98">
        <f>(MOD(O$8,$D56)=0)*$B56*$C56*FISH_TANK</f>
        <v/>
      </c>
      <c r="P56" s="98">
        <f>(MOD(P$8,$D56)=0)*$B56*$C56*FISH_TANK</f>
        <v/>
      </c>
      <c r="Q56" s="98">
        <f>(MOD(Q$8,$D56)=0)*$B56*$C56*FISH_TANK</f>
        <v/>
      </c>
      <c r="R56" s="98">
        <f>(MOD(R$8,$D56)=0)*$B56*$C56*FISH_TANK</f>
        <v/>
      </c>
      <c r="S56" s="98">
        <f>(MOD(S$8,$D56)=0)*$B56*$C56*FISH_TANK</f>
        <v/>
      </c>
      <c r="T56" s="98">
        <f>(MOD(T$8,$D56)=0)*$B56*$C56*FISH_TANK</f>
        <v/>
      </c>
      <c r="U56" s="98">
        <f>(MOD(U$8,$D56)=0)*$B56*$C56*FISH_TANK</f>
        <v/>
      </c>
    </row>
    <row r="57" outlineLevel="1" s="313">
      <c r="A57" s="267" t="inlineStr">
        <is>
          <t>Gravity Separation (RFS)</t>
        </is>
      </c>
      <c r="B57" s="207" t="n"/>
      <c r="C57" s="310" t="n">
        <v>0</v>
      </c>
      <c r="D57" s="5" t="n">
        <v>10</v>
      </c>
      <c r="E57" s="5" t="n"/>
      <c r="F57" s="130" t="n"/>
      <c r="G57" s="141" t="n">
        <v>1</v>
      </c>
      <c r="H57" s="354">
        <f>C57*G57</f>
        <v/>
      </c>
      <c r="I57" s="5" t="n">
        <v>0</v>
      </c>
      <c r="K57" s="98">
        <f>(MOD(K$8,$D57)=0)*$B57*$C57*FISH_TANK</f>
        <v/>
      </c>
      <c r="L57" s="98">
        <f>(MOD(L$8,$D57)=0)*$B57*$C57*FISH_TANK</f>
        <v/>
      </c>
      <c r="M57" s="98">
        <f>(MOD(M$8,$D57)=0)*$B57*$C57*FISH_TANK</f>
        <v/>
      </c>
      <c r="N57" s="98">
        <f>(MOD(N$8,$D57)=0)*$B57*$C57*FISH_TANK</f>
        <v/>
      </c>
      <c r="O57" s="98">
        <f>(MOD(O$8,$D57)=0)*$B57*$C57*FISH_TANK</f>
        <v/>
      </c>
      <c r="P57" s="98">
        <f>(MOD(P$8,$D57)=0)*$B57*$C57*FISH_TANK</f>
        <v/>
      </c>
      <c r="Q57" s="98">
        <f>(MOD(Q$8,$D57)=0)*$B57*$C57*FISH_TANK</f>
        <v/>
      </c>
      <c r="R57" s="98">
        <f>(MOD(R$8,$D57)=0)*$B57*$C57*FISH_TANK</f>
        <v/>
      </c>
      <c r="S57" s="98">
        <f>(MOD(S$8,$D57)=0)*$B57*$C57*FISH_TANK</f>
        <v/>
      </c>
      <c r="T57" s="98">
        <f>(MOD(T$8,$D57)=0)*$B57*$C57*FISH_TANK</f>
        <v/>
      </c>
      <c r="U57" s="98">
        <f>(MOD(U$8,$D57)=0)*$B57*$C57*FISH_TANK</f>
        <v/>
      </c>
    </row>
    <row r="58">
      <c r="A58" s="2" t="inlineStr">
        <is>
          <t>1/total area</t>
        </is>
      </c>
      <c r="B58" s="207" t="n"/>
      <c r="C58" s="5" t="n"/>
      <c r="D58" s="5" t="n"/>
      <c r="E58" s="5" t="n"/>
      <c r="F58" s="130" t="n"/>
      <c r="G58" s="5" t="n"/>
      <c r="H58" s="5" t="n"/>
      <c r="I58" s="5" t="n"/>
      <c r="K58" s="212">
        <f>SUM(K59:K62)</f>
        <v/>
      </c>
      <c r="L58" s="212">
        <f>SUM(L59:L62)</f>
        <v/>
      </c>
      <c r="M58" s="212">
        <f>SUM(M59:M62)</f>
        <v/>
      </c>
      <c r="N58" s="212">
        <f>SUM(N59:N62)</f>
        <v/>
      </c>
      <c r="O58" s="212">
        <f>SUM(O59:O62)</f>
        <v/>
      </c>
      <c r="P58" s="212">
        <f>SUM(P59:P62)</f>
        <v/>
      </c>
      <c r="Q58" s="212">
        <f>SUM(Q59:Q62)</f>
        <v/>
      </c>
      <c r="R58" s="212">
        <f>SUM(R59:R62)</f>
        <v/>
      </c>
      <c r="S58" s="212">
        <f>SUM(S59:S62)</f>
        <v/>
      </c>
      <c r="T58" s="212">
        <f>SUM(T59:T62)</f>
        <v/>
      </c>
      <c r="U58" s="212">
        <f>SUM(U59:U62)</f>
        <v/>
      </c>
    </row>
    <row r="59">
      <c r="A59" s="203" t="inlineStr">
        <is>
          <t>Emergency generator</t>
        </is>
      </c>
      <c r="B59" s="329">
        <f>20000*5/12000</f>
        <v/>
      </c>
      <c r="C59" s="5" t="n">
        <v>1</v>
      </c>
      <c r="D59" s="5" t="n">
        <v>10</v>
      </c>
      <c r="E59" s="5" t="n"/>
      <c r="F59" s="130" t="n"/>
      <c r="G59" s="354" t="n"/>
      <c r="H59" s="354" t="n"/>
      <c r="I59" s="5" t="n">
        <v>1</v>
      </c>
      <c r="K59" s="98">
        <f>(MOD(K$8,$D59)=0)*$B59*$C59</f>
        <v/>
      </c>
      <c r="L59" s="98">
        <f>(MOD(L$8,$D59)=0)*$B59*$C59</f>
        <v/>
      </c>
      <c r="M59" s="98">
        <f>(MOD(M$8,$D59)=0)*$B59*$C59</f>
        <v/>
      </c>
      <c r="N59" s="98">
        <f>(MOD(N$8,$D59)=0)*$B59*$C59</f>
        <v/>
      </c>
      <c r="O59" s="98">
        <f>(MOD(O$8,$D59)=0)*$B59*$C59</f>
        <v/>
      </c>
      <c r="P59" s="98">
        <f>(MOD(P$8,$D59)=0)*$B59*$C59</f>
        <v/>
      </c>
      <c r="Q59" s="98">
        <f>(MOD(Q$8,$D59)=0)*$B59*$C59</f>
        <v/>
      </c>
      <c r="R59" s="98">
        <f>(MOD(R$8,$D59)=0)*$B59*$C59</f>
        <v/>
      </c>
      <c r="S59" s="98">
        <f>(MOD(S$8,$D59)=0)*$B59*$C59</f>
        <v/>
      </c>
      <c r="T59" s="98">
        <f>(MOD(T$8,$D59)=0)*$B59*$C59</f>
        <v/>
      </c>
      <c r="U59" s="98">
        <f>(MOD(U$8,$D59)=0)*$B59*$C59</f>
        <v/>
      </c>
    </row>
    <row r="60" outlineLevel="1" s="313">
      <c r="A60" s="267" t="inlineStr">
        <is>
          <t>Desalinization/Distillation unit (RO)</t>
        </is>
      </c>
      <c r="B60" s="310" t="n"/>
      <c r="C60" s="5" t="n">
        <v>0</v>
      </c>
      <c r="D60" s="5" t="n">
        <v>10</v>
      </c>
      <c r="E60" s="5" t="n">
        <v>4</v>
      </c>
      <c r="F60" s="130">
        <f>E60*365*RAS_VOLUME</f>
        <v/>
      </c>
      <c r="G60" s="354" t="n"/>
      <c r="H60" s="354" t="n"/>
      <c r="I60" s="5" t="n">
        <v>1</v>
      </c>
      <c r="K60" s="98">
        <f>(MOD(K$8,$D60)=0)*$B60*$C60</f>
        <v/>
      </c>
      <c r="L60" s="98">
        <f>(MOD(L$8,$D60)=0)*$B60*$C60</f>
        <v/>
      </c>
      <c r="M60" s="98">
        <f>(MOD(M$8,$D60)=0)*$B60*$C60</f>
        <v/>
      </c>
      <c r="N60" s="98">
        <f>(MOD(N$8,$D60)=0)*$B60*$C60</f>
        <v/>
      </c>
      <c r="O60" s="98">
        <f>(MOD(O$8,$D60)=0)*$B60*$C60</f>
        <v/>
      </c>
      <c r="P60" s="98">
        <f>(MOD(P$8,$D60)=0)*$B60*$C60</f>
        <v/>
      </c>
      <c r="Q60" s="98">
        <f>(MOD(Q$8,$D60)=0)*$B60*$C60</f>
        <v/>
      </c>
      <c r="R60" s="98">
        <f>(MOD(R$8,$D60)=0)*$B60*$C60</f>
        <v/>
      </c>
      <c r="S60" s="98">
        <f>(MOD(S$8,$D60)=0)*$B60*$C60</f>
        <v/>
      </c>
      <c r="T60" s="98">
        <f>(MOD(T$8,$D60)=0)*$B60*$C60</f>
        <v/>
      </c>
      <c r="U60" s="98">
        <f>(MOD(U$8,$D60)=0)*$B60*$C60</f>
        <v/>
      </c>
    </row>
    <row r="61" outlineLevel="1" s="313">
      <c r="A61" s="267" t="inlineStr">
        <is>
          <t>Solar Panels (kW/m² greenhouse)</t>
        </is>
      </c>
      <c r="B61" s="208" t="n"/>
      <c r="C61" s="5" t="n">
        <v>0</v>
      </c>
      <c r="D61" s="5" t="n">
        <v>10</v>
      </c>
      <c r="E61" s="5" t="n"/>
      <c r="F61" s="130" t="n"/>
      <c r="G61" s="354" t="n"/>
      <c r="H61" s="354" t="n"/>
      <c r="I61" s="5" t="n">
        <v>0</v>
      </c>
      <c r="K61" s="98">
        <f>(MOD(K$8,$D61)=0)*$B61*$C61</f>
        <v/>
      </c>
      <c r="L61" s="98">
        <f>(MOD(L$8,$D61)=0)*$B61*$C61</f>
        <v/>
      </c>
      <c r="M61" s="98">
        <f>(MOD(M$8,$D61)=0)*$B61*$C61</f>
        <v/>
      </c>
      <c r="N61" s="98">
        <f>(MOD(N$8,$D61)=0)*$B61*$C61</f>
        <v/>
      </c>
      <c r="O61" s="98">
        <f>(MOD(O$8,$D61)=0)*$B61*$C61</f>
        <v/>
      </c>
      <c r="P61" s="98">
        <f>(MOD(P$8,$D61)=0)*$B61*$C61</f>
        <v/>
      </c>
      <c r="Q61" s="98">
        <f>(MOD(Q$8,$D61)=0)*$B61*$C61</f>
        <v/>
      </c>
      <c r="R61" s="98">
        <f>(MOD(R$8,$D61)=0)*$B61*$C61</f>
        <v/>
      </c>
      <c r="S61" s="98">
        <f>(MOD(S$8,$D61)=0)*$B61*$C61</f>
        <v/>
      </c>
      <c r="T61" s="98">
        <f>(MOD(T$8,$D61)=0)*$B61*$C61</f>
        <v/>
      </c>
      <c r="U61" s="98">
        <f>(MOD(U$8,$D61)=0)*$B61*$C61</f>
        <v/>
      </c>
    </row>
    <row r="62" outlineLevel="1" s="313">
      <c r="A62" s="267" t="inlineStr">
        <is>
          <t>Hot and Cold Water tank</t>
        </is>
      </c>
      <c r="B62" s="122">
        <f>50000*5/390</f>
        <v/>
      </c>
      <c r="C62" s="5" t="n">
        <v>0</v>
      </c>
      <c r="D62" s="5" t="n">
        <v>20</v>
      </c>
      <c r="E62" s="5" t="n"/>
      <c r="F62" s="130" t="n"/>
      <c r="G62" s="354" t="n"/>
      <c r="H62" s="354" t="n"/>
      <c r="I62" s="5" t="n">
        <v>0</v>
      </c>
      <c r="K62" s="98">
        <f>(MOD(K$8,$D62)=0)*$B62*$C62</f>
        <v/>
      </c>
      <c r="L62" s="98">
        <f>(MOD(L$8,$D62)=0)*$B62*$C62</f>
        <v/>
      </c>
      <c r="M62" s="98">
        <f>(MOD(M$8,$D62)=0)*$B62*$C62</f>
        <v/>
      </c>
      <c r="N62" s="98">
        <f>(MOD(N$8,$D62)=0)*$B62*$C62</f>
        <v/>
      </c>
      <c r="O62" s="98">
        <f>(MOD(O$8,$D62)=0)*$B62*$C62</f>
        <v/>
      </c>
      <c r="P62" s="98">
        <f>(MOD(P$8,$D62)=0)*$B62*$C62</f>
        <v/>
      </c>
      <c r="Q62" s="98">
        <f>(MOD(Q$8,$D62)=0)*$B62*$C62</f>
        <v/>
      </c>
      <c r="R62" s="98">
        <f>(MOD(R$8,$D62)=0)*$B62*$C62</f>
        <v/>
      </c>
      <c r="S62" s="98">
        <f>(MOD(S$8,$D62)=0)*$B62*$C62</f>
        <v/>
      </c>
      <c r="T62" s="98">
        <f>(MOD(T$8,$D62)=0)*$B62*$C62</f>
        <v/>
      </c>
      <c r="U62" s="98">
        <f>(MOD(U$8,$D62)=0)*$B62*$C62</f>
        <v/>
      </c>
    </row>
    <row r="63" ht="14.25" customHeight="1" s="313">
      <c r="B63" s="5" t="n"/>
      <c r="C63" s="5" t="n"/>
      <c r="F63" s="21" t="n"/>
    </row>
    <row r="64" ht="14.25" customHeight="1" s="313">
      <c r="A64" s="306" t="inlineStr">
        <is>
          <t>Administration &amp; Logistics Infrastructure</t>
        </is>
      </c>
      <c r="B64" s="98" t="n"/>
      <c r="C64" s="98" t="n"/>
      <c r="D64" s="98" t="n"/>
      <c r="E64" s="98" t="n"/>
      <c r="F64" s="263" t="n"/>
      <c r="G64" s="98" t="n"/>
      <c r="H64" s="98" t="n"/>
      <c r="I64" s="98" t="n"/>
      <c r="K64" s="212">
        <f>K65+K70</f>
        <v/>
      </c>
      <c r="L64" s="212">
        <f>L65+L70</f>
        <v/>
      </c>
      <c r="M64" s="212">
        <f>M65+M70</f>
        <v/>
      </c>
      <c r="N64" s="212">
        <f>N65+N70</f>
        <v/>
      </c>
      <c r="O64" s="212">
        <f>O65+O70</f>
        <v/>
      </c>
      <c r="P64" s="212">
        <f>P65+P70</f>
        <v/>
      </c>
      <c r="Q64" s="212">
        <f>Q65+Q70</f>
        <v/>
      </c>
      <c r="R64" s="212">
        <f>R65+R70</f>
        <v/>
      </c>
      <c r="S64" s="212">
        <f>S65+S70</f>
        <v/>
      </c>
      <c r="T64" s="212">
        <f>T65+T70</f>
        <v/>
      </c>
      <c r="U64" s="212">
        <f>U65+U70</f>
        <v/>
      </c>
    </row>
    <row r="65">
      <c r="A65" s="2" t="inlineStr">
        <is>
          <t>$/m²/year</t>
        </is>
      </c>
      <c r="B65" s="5" t="n"/>
      <c r="C65" s="5" t="n"/>
      <c r="D65" s="5" t="n"/>
      <c r="E65" s="5" t="n"/>
      <c r="F65" s="21" t="n"/>
      <c r="K65" s="212">
        <f>SUM(K66:K72)</f>
        <v/>
      </c>
      <c r="L65" s="212">
        <f>SUM(L66:L72)</f>
        <v/>
      </c>
      <c r="M65" s="212">
        <f>SUM(M66:M72)</f>
        <v/>
      </c>
      <c r="N65" s="212">
        <f>SUM(N66:N72)</f>
        <v/>
      </c>
      <c r="O65" s="212">
        <f>SUM(O66:O72)</f>
        <v/>
      </c>
      <c r="P65" s="212">
        <f>SUM(P66:P72)</f>
        <v/>
      </c>
      <c r="Q65" s="212">
        <f>SUM(Q66:Q72)</f>
        <v/>
      </c>
      <c r="R65" s="212">
        <f>SUM(R66:R72)</f>
        <v/>
      </c>
      <c r="S65" s="212">
        <f>SUM(S66:S72)</f>
        <v/>
      </c>
      <c r="T65" s="212">
        <f>SUM(T66:T72)</f>
        <v/>
      </c>
      <c r="U65" s="212">
        <f>SUM(U66:U72)</f>
        <v/>
      </c>
    </row>
    <row r="66">
      <c r="A66" s="267" t="inlineStr">
        <is>
          <t>Property Rental</t>
        </is>
      </c>
      <c r="B66" s="127" t="n">
        <v>20</v>
      </c>
      <c r="C66" s="5" t="n">
        <v>1</v>
      </c>
      <c r="D66" s="5" t="n">
        <v>1</v>
      </c>
      <c r="E66" s="5" t="n"/>
      <c r="F66" s="21" t="n"/>
      <c r="G66" s="354" t="n"/>
      <c r="H66" s="354" t="n"/>
      <c r="K66" s="98">
        <f>(MOD(K$8,$D66)=0)*$B66*$C66*TOTAL_AREA</f>
        <v/>
      </c>
      <c r="L66" s="98">
        <f>(MOD(L$8,$D66)=0)*$B66*$C66*TOTAL_AREA</f>
        <v/>
      </c>
      <c r="M66" s="98">
        <f>(MOD(M$8,$D66)=0)*$B66*$C66*TOTAL_AREA</f>
        <v/>
      </c>
      <c r="N66" s="98">
        <f>(MOD(N$8,$D66)=0)*$B66*$C66*TOTAL_AREA</f>
        <v/>
      </c>
      <c r="O66" s="98">
        <f>(MOD(O$8,$D66)=0)*$B66*$C66*TOTAL_AREA</f>
        <v/>
      </c>
      <c r="P66" s="98">
        <f>(MOD(P$8,$D66)=0)*$B66*$C66*TOTAL_AREA</f>
        <v/>
      </c>
      <c r="Q66" s="98">
        <f>(MOD(Q$8,$D66)=0)*$B66*$C66*TOTAL_AREA</f>
        <v/>
      </c>
      <c r="R66" s="98">
        <f>(MOD(R$8,$D66)=0)*$B66*$C66*TOTAL_AREA</f>
        <v/>
      </c>
      <c r="S66" s="98">
        <f>(MOD(S$8,$D66)=0)*$B66*$C66*TOTAL_AREA</f>
        <v/>
      </c>
      <c r="T66" s="98">
        <f>(MOD(T$8,$D66)=0)*$B66*$C66*TOTAL_AREA</f>
        <v/>
      </c>
      <c r="U66" s="98">
        <f>(MOD(U$8,$D66)=0)*$B66*$C66*TOTAL_AREA</f>
        <v/>
      </c>
    </row>
    <row r="67">
      <c r="A67" s="267" t="inlineStr">
        <is>
          <t>Initial adjustments</t>
        </is>
      </c>
      <c r="B67" s="127" t="n">
        <v>10</v>
      </c>
      <c r="C67" s="5" t="n">
        <v>1</v>
      </c>
      <c r="D67" s="5" t="n">
        <v>20</v>
      </c>
      <c r="E67" s="5" t="n"/>
      <c r="F67" s="21" t="n"/>
      <c r="G67" s="354" t="n"/>
      <c r="H67" s="354" t="n"/>
      <c r="K67" s="98">
        <f>(MOD(K$8,$D67)=0)*$B67*$C67*TOTAL_AREA</f>
        <v/>
      </c>
      <c r="L67" s="98">
        <f>(MOD(L$8,$D67)=0)*$B67*$C67*TOTAL_AREA</f>
        <v/>
      </c>
      <c r="M67" s="98">
        <f>(MOD(M$8,$D67)=0)*$B67*$C67*TOTAL_AREA</f>
        <v/>
      </c>
      <c r="N67" s="98">
        <f>(MOD(N$8,$D67)=0)*$B67*$C67*TOTAL_AREA</f>
        <v/>
      </c>
      <c r="O67" s="98">
        <f>(MOD(O$8,$D67)=0)*$B67*$C67*TOTAL_AREA</f>
        <v/>
      </c>
      <c r="P67" s="98">
        <f>(MOD(P$8,$D67)=0)*$B67*$C67*TOTAL_AREA</f>
        <v/>
      </c>
      <c r="Q67" s="98">
        <f>(MOD(Q$8,$D67)=0)*$B67*$C67*TOTAL_AREA</f>
        <v/>
      </c>
      <c r="R67" s="98">
        <f>(MOD(R$8,$D67)=0)*$B67*$C67*TOTAL_AREA</f>
        <v/>
      </c>
      <c r="S67" s="98">
        <f>(MOD(S$8,$D67)=0)*$B67*$C67*TOTAL_AREA</f>
        <v/>
      </c>
      <c r="T67" s="98">
        <f>(MOD(T$8,$D67)=0)*$B67*$C67*TOTAL_AREA</f>
        <v/>
      </c>
      <c r="U67" s="98">
        <f>(MOD(U$8,$D67)=0)*$B67*$C67*TOTAL_AREA</f>
        <v/>
      </c>
    </row>
    <row r="68">
      <c r="A68" s="267" t="inlineStr">
        <is>
          <t xml:space="preserve">IT Equipment </t>
        </is>
      </c>
      <c r="B68" s="127" t="n">
        <v>5</v>
      </c>
      <c r="C68" s="5" t="n">
        <v>1</v>
      </c>
      <c r="D68" s="5" t="n">
        <v>10</v>
      </c>
      <c r="E68" s="5" t="n"/>
      <c r="F68" s="310" t="n"/>
      <c r="G68" s="354" t="n"/>
      <c r="H68" s="354" t="n"/>
      <c r="K68" s="98">
        <f>(MOD(K$8,$D68)=0)*$B68*$C68*TOTAL_AREA</f>
        <v/>
      </c>
      <c r="L68" s="98">
        <f>(MOD(L$8,$D68)=0)*$B68*$C68*TOTAL_AREA</f>
        <v/>
      </c>
      <c r="M68" s="98">
        <f>(MOD(M$8,$D68)=0)*$B68*$C68*TOTAL_AREA</f>
        <v/>
      </c>
      <c r="N68" s="98">
        <f>(MOD(N$8,$D68)=0)*$B68*$C68*TOTAL_AREA</f>
        <v/>
      </c>
      <c r="O68" s="98">
        <f>(MOD(O$8,$D68)=0)*$B68*$C68*TOTAL_AREA</f>
        <v/>
      </c>
      <c r="P68" s="98">
        <f>(MOD(P$8,$D68)=0)*$B68*$C68*TOTAL_AREA</f>
        <v/>
      </c>
      <c r="Q68" s="98">
        <f>(MOD(Q$8,$D68)=0)*$B68*$C68*TOTAL_AREA</f>
        <v/>
      </c>
      <c r="R68" s="98">
        <f>(MOD(R$8,$D68)=0)*$B68*$C68*TOTAL_AREA</f>
        <v/>
      </c>
      <c r="S68" s="98">
        <f>(MOD(S$8,$D68)=0)*$B68*$C68*TOTAL_AREA</f>
        <v/>
      </c>
      <c r="T68" s="98">
        <f>(MOD(T$8,$D68)=0)*$B68*$C68*TOTAL_AREA</f>
        <v/>
      </c>
      <c r="U68" s="98">
        <f>(MOD(U$8,$D68)=0)*$B68*$C68*TOTAL_AREA</f>
        <v/>
      </c>
    </row>
    <row r="69">
      <c r="A69" s="267" t="inlineStr">
        <is>
          <t>Solar Panel space</t>
        </is>
      </c>
      <c r="B69" s="127" t="n">
        <v>1000</v>
      </c>
      <c r="C69" s="310" t="n">
        <v>0</v>
      </c>
      <c r="D69" s="310" t="n">
        <v>15</v>
      </c>
      <c r="E69" s="310" t="n"/>
      <c r="F69" s="21" t="n"/>
      <c r="G69" s="354" t="n"/>
      <c r="H69" s="354" t="n"/>
      <c r="K69" s="98">
        <f>(MOD(K$8,$D69)=0)*$B69*$C69*TOTAL_AREA</f>
        <v/>
      </c>
      <c r="L69" s="98">
        <f>(MOD(L$8,$D69)=0)*$B69*$C69*TOTAL_AREA</f>
        <v/>
      </c>
      <c r="M69" s="98">
        <f>(MOD(M$8,$D69)=0)*$B69*$C69*TOTAL_AREA</f>
        <v/>
      </c>
      <c r="N69" s="98">
        <f>(MOD(N$8,$D69)=0)*$B69*$C69*TOTAL_AREA</f>
        <v/>
      </c>
      <c r="O69" s="98">
        <f>(MOD(O$8,$D69)=0)*$B69*$C69*TOTAL_AREA</f>
        <v/>
      </c>
      <c r="P69" s="98">
        <f>(MOD(P$8,$D69)=0)*$B69*$C69*TOTAL_AREA</f>
        <v/>
      </c>
      <c r="Q69" s="98">
        <f>(MOD(Q$8,$D69)=0)*$B69*$C69*TOTAL_AREA</f>
        <v/>
      </c>
      <c r="R69" s="98">
        <f>(MOD(R$8,$D69)=0)*$B69*$C69*TOTAL_AREA</f>
        <v/>
      </c>
      <c r="S69" s="98">
        <f>(MOD(S$8,$D69)=0)*$B69*$C69*TOTAL_AREA</f>
        <v/>
      </c>
      <c r="T69" s="98">
        <f>(MOD(T$8,$D69)=0)*$B69*$C69*TOTAL_AREA</f>
        <v/>
      </c>
      <c r="U69" s="98">
        <f>(MOD(U$8,$D69)=0)*$B69*$C69*TOTAL_AREA</f>
        <v/>
      </c>
    </row>
    <row r="70">
      <c r="A70" s="2" t="inlineStr">
        <is>
          <t>% of revenue</t>
        </is>
      </c>
      <c r="B70" s="5" t="n"/>
      <c r="C70" s="5" t="n"/>
      <c r="D70" s="5" t="n"/>
      <c r="E70" s="5" t="n"/>
      <c r="F70" s="21" t="n"/>
      <c r="K70" s="212">
        <f>SUM(K71:K74)</f>
        <v/>
      </c>
    </row>
    <row r="71">
      <c r="A71" s="267" t="inlineStr">
        <is>
          <t>Working Capital</t>
        </is>
      </c>
      <c r="B71" s="211" t="n">
        <v>0.03</v>
      </c>
      <c r="C71" s="5" t="n">
        <v>1</v>
      </c>
      <c r="D71" s="5" t="n">
        <v>20</v>
      </c>
      <c r="E71" s="5" t="n"/>
      <c r="F71" s="21" t="n"/>
      <c r="G71" s="354" t="n"/>
      <c r="H71" s="354" t="n"/>
      <c r="K71" s="98">
        <f>(MOD(K$8,$D71)=0)*$B71*$C71*Revenues!J4</f>
        <v/>
      </c>
    </row>
    <row r="72">
      <c r="B72" s="5" t="n"/>
      <c r="C72" s="5" t="n"/>
      <c r="F72" s="21" t="n"/>
    </row>
    <row r="73" ht="18" customHeight="1" s="313">
      <c r="A73" s="307" t="inlineStr">
        <is>
          <t>Service Infrastructure</t>
        </is>
      </c>
      <c r="B73" s="119" t="n"/>
      <c r="C73" s="119" t="n"/>
      <c r="D73" s="119" t="n"/>
      <c r="E73" s="119" t="n"/>
      <c r="F73" s="119" t="n"/>
      <c r="G73" s="119" t="n"/>
      <c r="H73" s="119" t="n"/>
      <c r="I73" s="119" t="n"/>
      <c r="K73" s="212">
        <f>K74</f>
        <v/>
      </c>
      <c r="L73" s="212">
        <f>L74</f>
        <v/>
      </c>
      <c r="M73" s="212">
        <f>M74</f>
        <v/>
      </c>
      <c r="N73" s="212">
        <f>N74</f>
        <v/>
      </c>
      <c r="O73" s="212">
        <f>O74</f>
        <v/>
      </c>
      <c r="P73" s="212">
        <f>P74</f>
        <v/>
      </c>
      <c r="Q73" s="212">
        <f>Q74</f>
        <v/>
      </c>
      <c r="R73" s="212">
        <f>R74</f>
        <v/>
      </c>
      <c r="S73" s="212">
        <f>S74</f>
        <v/>
      </c>
      <c r="T73" s="212">
        <f>T74</f>
        <v/>
      </c>
      <c r="U73" s="212">
        <f>U74</f>
        <v/>
      </c>
    </row>
    <row r="74" ht="14.25" customHeight="1" s="313">
      <c r="A74" s="5" t="inlineStr">
        <is>
          <t>Total Cost per year</t>
        </is>
      </c>
      <c r="B74" s="127" t="n">
        <v>1</v>
      </c>
      <c r="K74" s="98">
        <f>B74</f>
        <v/>
      </c>
      <c r="L74" s="98">
        <f>K74</f>
        <v/>
      </c>
      <c r="M74" s="98">
        <f>L74</f>
        <v/>
      </c>
      <c r="N74" s="98">
        <f>M74</f>
        <v/>
      </c>
      <c r="O74" s="98">
        <f>N74</f>
        <v/>
      </c>
      <c r="P74" s="98">
        <f>O74</f>
        <v/>
      </c>
      <c r="Q74" s="98">
        <f>P74</f>
        <v/>
      </c>
      <c r="R74" s="98">
        <f>Q74</f>
        <v/>
      </c>
      <c r="S74" s="98">
        <f>R74</f>
        <v/>
      </c>
      <c r="T74" s="98">
        <f>S74</f>
        <v/>
      </c>
      <c r="U74" s="98">
        <f>T74</f>
        <v/>
      </c>
    </row>
    <row r="75">
      <c r="B75" s="5" t="n"/>
      <c r="C75" s="5" t="n"/>
    </row>
    <row r="76">
      <c r="B76" s="5" t="n"/>
      <c r="C76" s="5" t="n"/>
    </row>
    <row r="77">
      <c r="B77" s="5" t="n"/>
      <c r="C77" s="5" t="n"/>
    </row>
    <row r="78">
      <c r="B78" s="5" t="n"/>
      <c r="C78" s="5" t="n"/>
    </row>
  </sheetData>
  <mergeCells count="1">
    <mergeCell ref="A2:A4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tabColor rgb="FFFFC000"/>
    <outlinePr summaryBelow="1" summaryRight="1"/>
    <pageSetUpPr/>
  </sheetPr>
  <dimension ref="A1:M18"/>
  <sheetViews>
    <sheetView showGridLines="0" zoomScale="80" zoomScaleNormal="80" workbookViewId="0">
      <selection activeCell="F11" sqref="F11"/>
    </sheetView>
  </sheetViews>
  <sheetFormatPr baseColWidth="8" defaultRowHeight="14.25"/>
  <cols>
    <col width="21.9296875" customWidth="1" style="313" min="1" max="1"/>
    <col width="13.6640625" bestFit="1" customWidth="1" style="313" min="2" max="2"/>
    <col width="14.796875" customWidth="1" style="313" min="3" max="3"/>
    <col width="15.86328125" customWidth="1" style="313" min="4" max="4"/>
    <col width="13.6640625" bestFit="1" customWidth="1" style="313" min="5" max="6"/>
    <col width="12.265625" customWidth="1" style="313" min="7" max="17"/>
  </cols>
  <sheetData>
    <row r="1" ht="18.4" customHeight="1" s="313" thickBot="1">
      <c r="A1" s="85" t="inlineStr">
        <is>
          <t>FUNDING</t>
        </is>
      </c>
      <c r="B1" s="86" t="n"/>
      <c r="C1" s="86" t="n"/>
      <c r="D1" s="86" t="n"/>
      <c r="E1" s="86" t="n"/>
      <c r="F1" s="86" t="n"/>
      <c r="G1" s="86" t="n"/>
      <c r="H1" s="86" t="n"/>
      <c r="I1" s="86" t="n"/>
      <c r="J1" s="86" t="n"/>
      <c r="K1" s="86" t="n"/>
      <c r="L1" s="86" t="n"/>
      <c r="M1" s="86" t="n"/>
    </row>
    <row r="2" ht="18" customHeight="1" s="313">
      <c r="A2" s="22" t="n"/>
      <c r="H2" s="9" t="n"/>
      <c r="I2" s="10" t="n"/>
      <c r="J2" s="11" t="inlineStr">
        <is>
          <t>Rate</t>
        </is>
      </c>
      <c r="K2" s="10" t="n"/>
      <c r="L2" s="12" t="n"/>
    </row>
    <row r="3" ht="18" customHeight="1" s="313">
      <c r="A3" s="22" t="inlineStr">
        <is>
          <t>Necessary Initial Investment</t>
        </is>
      </c>
      <c r="C3" s="98">
        <f>Investment!K4</f>
        <v/>
      </c>
      <c r="H3" s="13" t="inlineStr">
        <is>
          <t>Cost of equity</t>
        </is>
      </c>
      <c r="I3" s="138">
        <f>B5</f>
        <v/>
      </c>
      <c r="J3" s="93">
        <f>D5</f>
        <v/>
      </c>
      <c r="K3" s="98">
        <f>$C$3*I3</f>
        <v/>
      </c>
      <c r="L3" s="94">
        <f>J3*I3</f>
        <v/>
      </c>
    </row>
    <row r="4">
      <c r="D4" t="inlineStr">
        <is>
          <t>Cost of Capital</t>
        </is>
      </c>
      <c r="H4" s="13" t="inlineStr">
        <is>
          <t>Cost of debt</t>
        </is>
      </c>
      <c r="I4" s="138">
        <f>B8</f>
        <v/>
      </c>
      <c r="J4" s="93">
        <f>D8</f>
        <v/>
      </c>
      <c r="K4" s="98">
        <f>$C$3*I4</f>
        <v/>
      </c>
      <c r="L4" s="94">
        <f>J4*I4</f>
        <v/>
      </c>
    </row>
    <row r="5" ht="18.4" customHeight="1" s="313" thickBot="1">
      <c r="A5" s="103" t="inlineStr">
        <is>
          <t>Equity</t>
        </is>
      </c>
      <c r="B5" s="354">
        <f>C5/C3</f>
        <v/>
      </c>
      <c r="C5" s="98">
        <f>Framework!M5</f>
        <v/>
      </c>
      <c r="D5" s="83" t="n">
        <v>0.171</v>
      </c>
      <c r="H5" s="26" t="n"/>
      <c r="I5" s="14" t="n"/>
      <c r="J5" s="14" t="n"/>
      <c r="K5" s="15" t="inlineStr">
        <is>
          <t>WACC</t>
        </is>
      </c>
      <c r="L5" s="95">
        <f>SUM(L3:L4)</f>
        <v/>
      </c>
    </row>
    <row r="6">
      <c r="A6" s="105" t="n"/>
      <c r="B6" s="355" t="n"/>
      <c r="C6" s="356" t="n"/>
      <c r="D6" s="357" t="inlineStr">
        <is>
          <t>Years</t>
        </is>
      </c>
      <c r="E6" s="358" t="n"/>
      <c r="F6" s="359" t="n"/>
    </row>
    <row r="7">
      <c r="A7" s="105" t="n"/>
      <c r="B7" s="360" t="n"/>
      <c r="D7" s="112" t="inlineStr">
        <is>
          <t>Yearly Interest Rate</t>
        </is>
      </c>
      <c r="E7" t="inlineStr">
        <is>
          <t>Grace Period</t>
        </is>
      </c>
      <c r="F7" s="113" t="inlineStr">
        <is>
          <t>Term</t>
        </is>
      </c>
      <c r="G7" s="102" t="inlineStr">
        <is>
          <t>Principal</t>
        </is>
      </c>
    </row>
    <row r="8" ht="18.4" customHeight="1" s="313" thickBot="1">
      <c r="A8" s="103" t="inlineStr">
        <is>
          <t>Debt</t>
        </is>
      </c>
      <c r="B8" s="354">
        <f>1-B5</f>
        <v/>
      </c>
      <c r="C8" s="98">
        <f>B8*C3</f>
        <v/>
      </c>
      <c r="D8" s="114" t="n">
        <v>0.1186</v>
      </c>
      <c r="E8" s="115" t="n">
        <v>0</v>
      </c>
      <c r="F8" s="115" t="n">
        <v>10</v>
      </c>
      <c r="G8" s="262">
        <f>C8/(F8-E8)</f>
        <v/>
      </c>
    </row>
    <row r="9">
      <c r="C9" s="4" t="n"/>
      <c r="D9" s="356" t="n"/>
      <c r="F9" s="108" t="n"/>
    </row>
    <row r="10">
      <c r="D10" s="356" t="n"/>
    </row>
    <row r="11" ht="18" customHeight="1" s="313">
      <c r="B11" s="22" t="inlineStr">
        <is>
          <t>Debt repayment and interest schedule</t>
        </is>
      </c>
      <c r="L11" s="105" t="inlineStr">
        <is>
          <t>Total Interest Payment</t>
        </is>
      </c>
      <c r="M11" s="100">
        <f>SUM(D17:M17)</f>
        <v/>
      </c>
    </row>
    <row r="12"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s="204" t="inlineStr">
        <is>
          <t>Year</t>
        </is>
      </c>
      <c r="C13" s="5" t="n">
        <v>0</v>
      </c>
      <c r="D13" s="5" t="n">
        <v>1</v>
      </c>
      <c r="E13" s="5" t="n">
        <v>2</v>
      </c>
      <c r="F13" s="5" t="n">
        <v>3</v>
      </c>
      <c r="G13" s="5" t="n">
        <v>4</v>
      </c>
      <c r="H13" s="5" t="n">
        <v>5</v>
      </c>
      <c r="I13" s="5" t="n">
        <v>6</v>
      </c>
      <c r="J13" s="5" t="n">
        <v>7</v>
      </c>
      <c r="K13" s="5" t="n">
        <v>8</v>
      </c>
      <c r="L13" s="5" t="n">
        <v>9</v>
      </c>
      <c r="M13" s="5" t="n">
        <v>10</v>
      </c>
    </row>
    <row r="14">
      <c r="B14" s="105" t="inlineStr">
        <is>
          <t>Period Beginning Balance</t>
        </is>
      </c>
      <c r="C14" s="98">
        <f>C8</f>
        <v/>
      </c>
      <c r="D14" s="98">
        <f>C14</f>
        <v/>
      </c>
      <c r="E14" s="98">
        <f>D18</f>
        <v/>
      </c>
      <c r="F14" s="98">
        <f>E18</f>
        <v/>
      </c>
      <c r="G14" s="98">
        <f>F18</f>
        <v/>
      </c>
      <c r="H14" s="98">
        <f>G18</f>
        <v/>
      </c>
      <c r="I14" s="98">
        <f>H18</f>
        <v/>
      </c>
      <c r="J14" s="98">
        <f>I18</f>
        <v/>
      </c>
      <c r="K14" s="98">
        <f>J18</f>
        <v/>
      </c>
      <c r="L14" s="98">
        <f>K18</f>
        <v/>
      </c>
      <c r="M14" s="98">
        <f>L18</f>
        <v/>
      </c>
    </row>
    <row r="15">
      <c r="B15" s="105" t="inlineStr">
        <is>
          <t xml:space="preserve">Principal Repayment </t>
        </is>
      </c>
      <c r="D15" s="98">
        <f>IF(D14=0,,IF(D13&lt;=$E$8,0,$G$8))</f>
        <v/>
      </c>
      <c r="E15" s="98">
        <f>IF(E14=0,,IF(E13&lt;=$E$8,0,$G$8))</f>
        <v/>
      </c>
      <c r="F15" s="98">
        <f>IF(F14=0,,IF(F13&lt;=$E$8,0,$G$8))</f>
        <v/>
      </c>
      <c r="G15" s="98">
        <f>IF(G14=0,,IF(G13&lt;=$E$8,0,$G$8))</f>
        <v/>
      </c>
      <c r="H15" s="98">
        <f>IF(H14=0,,IF(H13&lt;=$E$8,0,$G$8))</f>
        <v/>
      </c>
      <c r="I15" s="98">
        <f>IF(I14=0,,IF(I13&lt;=$E$8,0,$G$8))</f>
        <v/>
      </c>
      <c r="J15" s="98">
        <f>IF(J14=0,,IF(J13&lt;=$E$8,0,$G$8))</f>
        <v/>
      </c>
      <c r="K15" s="98">
        <f>IF(K14=0,,IF(K13&lt;=$E$8,0,$G$8))</f>
        <v/>
      </c>
      <c r="L15" s="98">
        <f>IF(L14=0,,IF(L13&lt;=$E$8,0,$G$8))</f>
        <v/>
      </c>
      <c r="M15" s="98">
        <f>IF(M14=0,,IF(M13&lt;=$E$8,0,$G$8))</f>
        <v/>
      </c>
    </row>
    <row r="16">
      <c r="B16" s="105" t="inlineStr">
        <is>
          <t>Total Payment</t>
        </is>
      </c>
      <c r="D16" s="98">
        <f>D15+D17</f>
        <v/>
      </c>
      <c r="E16" s="98">
        <f>E15+E17</f>
        <v/>
      </c>
      <c r="F16" s="98">
        <f>F15+F17</f>
        <v/>
      </c>
      <c r="G16" s="98">
        <f>G15+G17</f>
        <v/>
      </c>
      <c r="H16" s="98">
        <f>H15+H17</f>
        <v/>
      </c>
      <c r="I16" s="98">
        <f>I15+I17</f>
        <v/>
      </c>
      <c r="J16" s="98">
        <f>J15+J17</f>
        <v/>
      </c>
      <c r="K16" s="98">
        <f>K15+K17</f>
        <v/>
      </c>
      <c r="L16" s="98">
        <f>L15+L17</f>
        <v/>
      </c>
      <c r="M16" s="98">
        <f>M15+M17</f>
        <v/>
      </c>
    </row>
    <row r="17">
      <c r="B17" s="105" t="inlineStr">
        <is>
          <t xml:space="preserve">Interest Payment </t>
        </is>
      </c>
      <c r="D17" s="98">
        <f>D14*$D$8</f>
        <v/>
      </c>
      <c r="E17" s="98">
        <f>E14*$D$8</f>
        <v/>
      </c>
      <c r="F17" s="98">
        <f>F14*$D$8</f>
        <v/>
      </c>
      <c r="G17" s="98">
        <f>G14*$D$8</f>
        <v/>
      </c>
      <c r="H17" s="98">
        <f>H14*$D$8</f>
        <v/>
      </c>
      <c r="I17" s="98">
        <f>I14*$D$8</f>
        <v/>
      </c>
      <c r="J17" s="98">
        <f>J14*$D$8</f>
        <v/>
      </c>
      <c r="K17" s="98">
        <f>K14*$D$8</f>
        <v/>
      </c>
      <c r="L17" s="98">
        <f>L14*$D$8</f>
        <v/>
      </c>
      <c r="M17" s="98">
        <f>M14*$D$8</f>
        <v/>
      </c>
    </row>
    <row r="18">
      <c r="B18" s="105" t="inlineStr">
        <is>
          <t>Ending Balance</t>
        </is>
      </c>
      <c r="D18" s="98">
        <f>IF(D14-D15&lt;0,0,D14-D15)</f>
        <v/>
      </c>
      <c r="E18" s="98">
        <f>IF(E14-E15&lt;0,0,E14-E15)</f>
        <v/>
      </c>
      <c r="F18" s="98">
        <f>IF(F14-F15&lt;0,0,F14-F15)</f>
        <v/>
      </c>
      <c r="G18" s="98">
        <f>IF(G14-G15&lt;0,0,G14-G15)</f>
        <v/>
      </c>
      <c r="H18" s="98">
        <f>IF(H14-H15&lt;0,0,H14-H15)</f>
        <v/>
      </c>
      <c r="I18" s="98">
        <f>IF(I14-I15&lt;0,0,I14-I15)</f>
        <v/>
      </c>
      <c r="J18" s="98">
        <f>IF(J14-J15&lt;0,0,J14-J15)</f>
        <v/>
      </c>
      <c r="K18" s="98">
        <f>IF(K14-K15&lt;0,0,K14-K15)</f>
        <v/>
      </c>
      <c r="L18" s="98">
        <f>IF(L14-L15&lt;0,0,L14-L15)</f>
        <v/>
      </c>
      <c r="M18" s="98">
        <f>IF(M14-M15&lt;0,0,M14-M15)</f>
        <v/>
      </c>
    </row>
  </sheetData>
  <mergeCells count="1">
    <mergeCell ref="D6:F6"/>
  </mergeCells>
  <dataValidations count="1">
    <dataValidation sqref="E8:F8" showDropDown="0" showInputMessage="1" showErrorMessage="1" allowBlank="1" type="list">
      <formula1>"0,1,2,3,4,5,6,7,8,9,10"</formula1>
    </dataValidation>
  </dataValidation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tabColor theme="6"/>
    <outlinePr summaryBelow="1" summaryRight="1"/>
    <pageSetUpPr/>
  </sheetPr>
  <dimension ref="A1:AI31"/>
  <sheetViews>
    <sheetView showGridLines="0" workbookViewId="0">
      <pane ySplit="1" topLeftCell="A2" activePane="bottomLeft" state="frozen"/>
      <selection activeCell="C22" sqref="C22"/>
      <selection pane="bottomLeft" activeCell="G9" sqref="G9"/>
    </sheetView>
  </sheetViews>
  <sheetFormatPr baseColWidth="8" defaultRowHeight="14.25"/>
  <cols>
    <col width="18.19921875" bestFit="1" customWidth="1" style="313" min="1" max="1"/>
    <col width="18.86328125" customWidth="1" style="313" min="2" max="2"/>
    <col width="9.86328125" bestFit="1" customWidth="1" style="313" min="3" max="3"/>
    <col width="10.9296875" customWidth="1" style="313" min="4" max="4"/>
    <col width="9.86328125" customWidth="1" style="313" min="5" max="5"/>
    <col width="14.265625" customWidth="1" style="313" min="6" max="9"/>
    <col width="11.265625" customWidth="1" style="313" min="10" max="10"/>
    <col width="14.265625" customWidth="1" style="313" min="11" max="11"/>
    <col width="17.1328125" bestFit="1" customWidth="1" style="313" min="12" max="12"/>
    <col width="17.1328125" customWidth="1" style="313" min="13" max="13"/>
    <col width="7.46484375" customWidth="1" style="313" min="14" max="14"/>
    <col width="14.265625" customWidth="1" style="313" min="15" max="16"/>
  </cols>
  <sheetData>
    <row r="1" ht="18" customHeight="1" s="313">
      <c r="A1" s="270" t="inlineStr">
        <is>
          <t>Revenues</t>
        </is>
      </c>
      <c r="B1" s="269" t="n"/>
      <c r="C1" s="269" t="n"/>
      <c r="D1" s="269" t="n"/>
      <c r="E1" s="269" t="n"/>
      <c r="F1" s="269" t="n"/>
      <c r="G1" s="269" t="n"/>
      <c r="H1" s="269" t="n"/>
      <c r="I1" s="269" t="n"/>
      <c r="J1" s="269" t="n"/>
      <c r="K1" s="269" t="n"/>
      <c r="L1" s="269" t="n"/>
      <c r="M1" s="269" t="n"/>
      <c r="N1" s="269" t="n"/>
      <c r="O1" s="128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>
      <c r="O2" s="128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8.5" customHeight="1" s="313">
      <c r="A3" s="106" t="inlineStr">
        <is>
          <t>Chosen Greens</t>
        </is>
      </c>
      <c r="B3" s="32" t="inlineStr">
        <is>
          <t>Yearly Standard Gross Production (kg)</t>
        </is>
      </c>
      <c r="C3" s="32" t="inlineStr">
        <is>
          <t>Price ($/kg)</t>
        </is>
      </c>
      <c r="D3" s="37" t="inlineStr">
        <is>
          <t>Productivity factor</t>
        </is>
      </c>
      <c r="E3" s="32" t="n"/>
      <c r="G3" t="inlineStr">
        <is>
          <t>Yearly Revenue</t>
        </is>
      </c>
      <c r="I3" t="inlineStr">
        <is>
          <t>Yearly</t>
        </is>
      </c>
      <c r="J3" t="inlineStr">
        <is>
          <t>Year 1</t>
        </is>
      </c>
      <c r="K3" t="inlineStr">
        <is>
          <t>Year 2+</t>
        </is>
      </c>
      <c r="O3" s="128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</row>
    <row r="4">
      <c r="A4" s="130">
        <f>CHOSEN_GREEN</f>
        <v/>
      </c>
      <c r="B4" s="130">
        <f>YEAR_GREEN_PRODUCTION</f>
        <v/>
      </c>
      <c r="C4" s="361">
        <f>VLOOKUP(A4,$A$17:$C$31,3,0)</f>
        <v/>
      </c>
      <c r="D4" s="138">
        <f>PRODUCTIVITY_FACTOR</f>
        <v/>
      </c>
      <c r="E4" s="32" t="n"/>
      <c r="F4" t="inlineStr">
        <is>
          <t>Greens</t>
        </is>
      </c>
      <c r="G4" s="151">
        <f>B4*(1-B8)*C4*(1+D4)</f>
        <v/>
      </c>
      <c r="I4" t="inlineStr">
        <is>
          <t>Revenue</t>
        </is>
      </c>
      <c r="J4" s="150">
        <f>(G4+G6)*B10</f>
        <v/>
      </c>
      <c r="K4" s="150">
        <f>G4+G6</f>
        <v/>
      </c>
      <c r="O4" s="128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</row>
    <row r="5">
      <c r="A5" s="106" t="inlineStr">
        <is>
          <t>Chosen Aquatic</t>
        </is>
      </c>
      <c r="C5" s="362" t="n"/>
      <c r="E5" s="32" t="n"/>
      <c r="G5" s="152" t="n"/>
      <c r="I5" t="inlineStr">
        <is>
          <t>Sales Tax</t>
        </is>
      </c>
      <c r="J5" s="150">
        <f>J4*B11</f>
        <v/>
      </c>
      <c r="K5" s="150">
        <f>K4*B11</f>
        <v/>
      </c>
      <c r="O5" s="128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</row>
    <row r="6">
      <c r="A6" s="130">
        <f>CHOSEN_FISH</f>
        <v/>
      </c>
      <c r="B6" s="130">
        <f>YEAR_FISH_PRODUCTION</f>
        <v/>
      </c>
      <c r="C6" s="361">
        <f>VLOOKUP(A6,$A$17:$C$31,3,0)</f>
        <v/>
      </c>
      <c r="D6" s="32" t="n"/>
      <c r="E6" s="32" t="n"/>
      <c r="F6" t="inlineStr">
        <is>
          <t>Fish</t>
        </is>
      </c>
      <c r="G6" s="151">
        <f>B6*(1-B9)*C6</f>
        <v/>
      </c>
      <c r="O6" s="62" t="n"/>
      <c r="P6" s="62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</row>
    <row r="7">
      <c r="D7" s="32" t="n"/>
      <c r="E7" s="32" t="n"/>
      <c r="F7" t="inlineStr">
        <is>
          <t>Services</t>
        </is>
      </c>
      <c r="G7" s="151">
        <f>B13+B14</f>
        <v/>
      </c>
      <c r="O7" s="62" t="n"/>
      <c r="P7" s="62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</row>
    <row r="8">
      <c r="A8" t="inlineStr">
        <is>
          <t>Average Plant loss</t>
        </is>
      </c>
      <c r="B8" s="363" t="n">
        <v>0.05</v>
      </c>
      <c r="D8" s="32" t="n"/>
      <c r="E8" s="32" t="n"/>
      <c r="O8" s="62" t="n"/>
      <c r="P8" s="62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</row>
    <row r="9">
      <c r="A9" t="inlineStr">
        <is>
          <t>Average Fish loss</t>
        </is>
      </c>
      <c r="B9" s="363" t="n">
        <v>0.05</v>
      </c>
      <c r="D9" s="32" t="n"/>
      <c r="E9" s="32" t="n"/>
      <c r="J9" s="63" t="n"/>
      <c r="O9" s="62" t="n"/>
      <c r="P9" s="62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</row>
    <row r="10">
      <c r="A10" t="inlineStr">
        <is>
          <t>First year sales ramp</t>
        </is>
      </c>
      <c r="B10" s="363" t="n">
        <v>0.6</v>
      </c>
      <c r="C10" s="106" t="inlineStr">
        <is>
          <t>Bacteria, fish growth, system adjustment</t>
        </is>
      </c>
      <c r="D10" s="32" t="n"/>
      <c r="E10" s="32" t="n"/>
      <c r="J10" s="63" t="n"/>
      <c r="O10" s="62" t="n"/>
      <c r="P10" s="62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</row>
    <row r="11">
      <c r="A11" t="inlineStr">
        <is>
          <t>Sales Tax</t>
        </is>
      </c>
      <c r="B11" s="363" t="n">
        <v>0.065</v>
      </c>
      <c r="D11" s="32" t="n"/>
      <c r="E11" s="32" t="n"/>
      <c r="J11" s="63" t="n"/>
      <c r="O11" s="62" t="n"/>
      <c r="P11" s="62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</row>
    <row r="12">
      <c r="A12" t="inlineStr">
        <is>
          <t>Corporate Tax</t>
        </is>
      </c>
      <c r="B12" s="363" t="n">
        <v>0.15</v>
      </c>
      <c r="D12" s="32" t="n"/>
      <c r="E12" s="32" t="n"/>
      <c r="J12" s="63" t="n"/>
      <c r="O12" s="62" t="n"/>
      <c r="P12" s="62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</row>
    <row r="13">
      <c r="A13" t="inlineStr">
        <is>
          <t>Service Revenue</t>
        </is>
      </c>
      <c r="B13" s="153" t="n">
        <v>0</v>
      </c>
      <c r="C13" s="217" t="inlineStr">
        <is>
          <t>Not focus</t>
        </is>
      </c>
      <c r="D13" s="32" t="n"/>
      <c r="E13" s="32" t="n"/>
      <c r="J13" s="63" t="n"/>
      <c r="O13" s="62" t="n"/>
      <c r="P13" s="62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</row>
    <row r="14">
      <c r="A14" t="inlineStr">
        <is>
          <t>Biogas  (UASG, EGSB)</t>
        </is>
      </c>
      <c r="B14" s="153" t="n">
        <v>0</v>
      </c>
      <c r="C14" s="217" t="inlineStr">
        <is>
          <t>Not focus</t>
        </is>
      </c>
      <c r="D14" s="32" t="n"/>
      <c r="E14" s="32" t="n"/>
      <c r="J14" s="63" t="n"/>
      <c r="O14" s="62" t="n"/>
      <c r="P14" s="62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</row>
    <row r="15">
      <c r="D15" s="32" t="n"/>
      <c r="E15" s="32" t="n"/>
      <c r="J15" s="63" t="n"/>
      <c r="O15" s="62" t="n"/>
      <c r="P15" s="62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</row>
    <row r="16" ht="14.65" customHeight="1" s="313" thickBot="1">
      <c r="A16" s="132" t="inlineStr">
        <is>
          <t>Greens</t>
        </is>
      </c>
      <c r="B16" s="146" t="n"/>
      <c r="C16" s="146" t="inlineStr">
        <is>
          <t>Price ($/kg)</t>
        </is>
      </c>
      <c r="D16" s="32" t="n"/>
      <c r="E16" s="32" t="n"/>
      <c r="J16" s="121" t="n"/>
      <c r="L16" s="121" t="n"/>
      <c r="M16" s="121" t="n"/>
      <c r="O16" s="128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</row>
    <row r="17" ht="14.65" customHeight="1" s="313" thickTop="1">
      <c r="A17" t="inlineStr">
        <is>
          <t>Tomato</t>
        </is>
      </c>
      <c r="B17" s="330" t="n"/>
      <c r="C17" s="330" t="n">
        <v>3</v>
      </c>
      <c r="D17" s="330" t="n"/>
      <c r="E17" s="330" t="n"/>
      <c r="J17" s="121" t="n"/>
      <c r="L17" s="121" t="n"/>
      <c r="M17" s="121" t="n"/>
      <c r="O17" s="128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</row>
    <row r="18">
      <c r="A18" t="inlineStr">
        <is>
          <t>Lettuce</t>
        </is>
      </c>
      <c r="B18" s="106" t="inlineStr">
        <is>
          <t>Lactuca sativa</t>
        </is>
      </c>
      <c r="C18" s="330" t="n">
        <v>5</v>
      </c>
      <c r="D18" s="330" t="n"/>
      <c r="E18" s="330" t="n"/>
      <c r="J18" s="121" t="n"/>
      <c r="L18" s="121" t="n"/>
      <c r="M18" s="121" t="n"/>
      <c r="O18" s="128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</row>
    <row r="19">
      <c r="A19" t="inlineStr">
        <is>
          <t>Chicória</t>
        </is>
      </c>
      <c r="B19" s="106" t="inlineStr">
        <is>
          <t>Cichorium intybus</t>
        </is>
      </c>
      <c r="C19" s="330" t="n">
        <v>10</v>
      </c>
      <c r="D19" s="330" t="n"/>
      <c r="E19" s="330" t="n"/>
      <c r="J19" s="121" t="n"/>
      <c r="L19" s="121" t="n"/>
      <c r="M19" s="121" t="n"/>
      <c r="O19" s="128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</row>
    <row r="20">
      <c r="A20" t="inlineStr">
        <is>
          <t>Almeirão Pão de Açúcar</t>
        </is>
      </c>
      <c r="B20" s="106" t="inlineStr">
        <is>
          <t>Cichorium intybus</t>
        </is>
      </c>
      <c r="C20" s="330" t="n">
        <v>10</v>
      </c>
      <c r="D20" s="330" t="n"/>
      <c r="E20" s="330" t="n"/>
      <c r="J20" s="121" t="n"/>
      <c r="L20" s="121" t="n"/>
      <c r="M20" s="121" t="n"/>
      <c r="O20" s="128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</row>
    <row r="21">
      <c r="A21" t="inlineStr">
        <is>
          <t>Almeirão Amargo</t>
        </is>
      </c>
      <c r="B21" s="106" t="inlineStr">
        <is>
          <t>Cichorium intybus</t>
        </is>
      </c>
      <c r="C21" s="330" t="n">
        <v>10</v>
      </c>
      <c r="D21" s="330" t="n"/>
      <c r="E21" s="330" t="n"/>
      <c r="J21" s="121" t="n"/>
      <c r="L21" s="121" t="n"/>
      <c r="M21" s="121" t="n"/>
      <c r="O21" s="128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</row>
    <row r="22">
      <c r="A22" t="inlineStr">
        <is>
          <t>Espinafre</t>
        </is>
      </c>
      <c r="B22" s="106" t="inlineStr">
        <is>
          <t>Spinacia oleracea</t>
        </is>
      </c>
      <c r="C22" s="330" t="n">
        <v>15</v>
      </c>
      <c r="D22" s="330" t="n"/>
      <c r="E22" s="330" t="n"/>
      <c r="J22" s="121" t="n"/>
      <c r="L22" s="121" t="n"/>
      <c r="M22" s="121" t="n"/>
      <c r="O22" s="128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</row>
    <row r="23">
      <c r="A23" t="inlineStr">
        <is>
          <t>Alface</t>
        </is>
      </c>
      <c r="B23" s="106" t="inlineStr">
        <is>
          <t>Lactuca sativa</t>
        </is>
      </c>
      <c r="C23" s="330" t="n">
        <v>5</v>
      </c>
      <c r="D23" s="330" t="n"/>
      <c r="E23" s="330" t="n"/>
      <c r="J23" s="121" t="n"/>
      <c r="L23" s="121" t="n"/>
      <c r="M23" s="121" t="n"/>
      <c r="O23" s="128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</row>
    <row r="24">
      <c r="A24" t="inlineStr">
        <is>
          <t>Salsinha</t>
        </is>
      </c>
      <c r="B24" s="106" t="inlineStr">
        <is>
          <t>Petroselinum crispum</t>
        </is>
      </c>
      <c r="C24" s="330" t="n">
        <v>15</v>
      </c>
      <c r="D24" s="330" t="n"/>
      <c r="E24" s="330" t="n"/>
      <c r="J24" s="121" t="n"/>
      <c r="L24" s="121" t="n"/>
      <c r="M24" s="121" t="n"/>
      <c r="O24" s="128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</row>
    <row r="25">
      <c r="A25" t="inlineStr">
        <is>
          <t>Manjericão</t>
        </is>
      </c>
      <c r="B25" s="106" t="inlineStr">
        <is>
          <t>Ocimum basilicum</t>
        </is>
      </c>
      <c r="C25" s="330" t="n">
        <v>30</v>
      </c>
      <c r="D25" s="330" t="n"/>
      <c r="E25" s="330" t="n"/>
      <c r="J25" s="121" t="n"/>
      <c r="L25" s="121" t="n"/>
      <c r="M25" s="121" t="n"/>
      <c r="O25" s="128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</row>
    <row r="26" ht="18" customHeight="1" s="313">
      <c r="A26" t="inlineStr">
        <is>
          <t>Agrião</t>
        </is>
      </c>
      <c r="B26" s="106" t="inlineStr">
        <is>
          <t>Nasturtium officinale</t>
        </is>
      </c>
      <c r="C26" s="331" t="n">
        <v>15</v>
      </c>
      <c r="D26" s="331" t="n"/>
      <c r="E26" s="331" t="n"/>
      <c r="J26" s="22" t="n"/>
      <c r="L26" s="22" t="n"/>
      <c r="M26" s="22" t="n"/>
      <c r="N26" s="22" t="n"/>
      <c r="O26" s="19" t="n"/>
      <c r="P26" s="124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</row>
    <row r="27" ht="18" customHeight="1" s="313">
      <c r="A27" t="inlineStr">
        <is>
          <t>Cebolinha</t>
        </is>
      </c>
      <c r="B27" s="106" t="inlineStr">
        <is>
          <t>Allium schoenoprasum</t>
        </is>
      </c>
      <c r="C27" s="331" t="n">
        <v>12</v>
      </c>
      <c r="D27" s="331" t="n"/>
      <c r="E27" s="331" t="n"/>
      <c r="J27" s="22" t="n"/>
      <c r="K27" s="22" t="n"/>
      <c r="L27" s="22" t="n"/>
      <c r="M27" s="22" t="n"/>
      <c r="N27" s="22" t="n"/>
      <c r="O27" s="19" t="n"/>
      <c r="P27" s="124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</row>
    <row r="28" ht="18" customHeight="1" s="313">
      <c r="B28" s="106" t="n"/>
      <c r="C28" s="331" t="n"/>
      <c r="D28" s="331" t="n"/>
      <c r="E28" s="331" t="n"/>
      <c r="J28" s="22" t="n"/>
      <c r="K28" s="22" t="n"/>
      <c r="L28" s="22" t="n"/>
      <c r="M28" s="22" t="n"/>
      <c r="N28" s="22" t="n"/>
      <c r="O28" s="19" t="n"/>
      <c r="P28" s="124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</row>
    <row r="29" ht="18.4" customHeight="1" s="313" thickBot="1">
      <c r="A29" s="132" t="inlineStr">
        <is>
          <t>Aquatic</t>
        </is>
      </c>
      <c r="B29" s="332" t="n"/>
      <c r="C29" s="146" t="inlineStr">
        <is>
          <t>Price ($/kg)</t>
        </is>
      </c>
      <c r="D29" s="331" t="n"/>
      <c r="E29" s="331" t="n"/>
      <c r="J29" s="22" t="n"/>
      <c r="K29" s="22" t="n"/>
      <c r="L29" s="22" t="n"/>
      <c r="M29" s="22" t="n"/>
      <c r="N29" s="22" t="n"/>
      <c r="O29" s="19" t="n"/>
      <c r="P29" s="124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</row>
    <row r="30" ht="18.4" customHeight="1" s="313" thickTop="1">
      <c r="A30" t="inlineStr">
        <is>
          <t>Tilapia</t>
        </is>
      </c>
      <c r="B30" s="331" t="n"/>
      <c r="C30" s="331" t="n">
        <v>10</v>
      </c>
      <c r="D30" s="331" t="n"/>
      <c r="E30" s="331" t="n"/>
      <c r="J30" s="22" t="n"/>
      <c r="K30" s="22" t="n"/>
      <c r="L30" s="22" t="n"/>
      <c r="M30" s="22" t="n"/>
      <c r="N30" s="22" t="n"/>
      <c r="O30" s="19" t="n"/>
      <c r="P30" s="124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</row>
    <row r="31" ht="18" customHeight="1" s="313">
      <c r="A31" t="inlineStr">
        <is>
          <t>Trout</t>
        </is>
      </c>
      <c r="B31" s="331" t="n"/>
      <c r="C31" s="331" t="n">
        <v>15</v>
      </c>
      <c r="D31" s="331" t="n"/>
      <c r="E31" s="331" t="n"/>
      <c r="J31" s="22" t="n"/>
      <c r="K31" s="22" t="n"/>
      <c r="L31" s="22" t="n"/>
      <c r="M31" s="22" t="n"/>
      <c r="N31" s="22" t="n"/>
      <c r="O31" s="19" t="n"/>
      <c r="P31" s="124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tabColor rgb="FFC00000"/>
    <outlinePr summaryBelow="1" summaryRight="1"/>
    <pageSetUpPr/>
  </sheetPr>
  <dimension ref="A1:I74"/>
  <sheetViews>
    <sheetView showGridLines="0" tabSelected="1" zoomScale="70" zoomScaleNormal="70" workbookViewId="0">
      <pane ySplit="1" topLeftCell="A2" activePane="bottomLeft" state="frozen"/>
      <selection activeCell="C22" sqref="C22"/>
      <selection pane="bottomLeft" activeCell="G26" sqref="G26"/>
    </sheetView>
  </sheetViews>
  <sheetFormatPr baseColWidth="8" defaultRowHeight="14.25"/>
  <cols>
    <col width="27.53125" bestFit="1" customWidth="1" style="313" min="1" max="1"/>
    <col width="16.06640625" customWidth="1" style="313" min="2" max="9"/>
  </cols>
  <sheetData>
    <row r="1" ht="18" customHeight="1" s="313">
      <c r="A1" s="80" t="inlineStr">
        <is>
          <t>COSTS</t>
        </is>
      </c>
      <c r="B1" s="80" t="n"/>
      <c r="C1" s="80" t="n"/>
      <c r="D1" s="80" t="n"/>
      <c r="E1" s="80" t="n"/>
      <c r="F1" s="81" t="n"/>
      <c r="G1" s="81" t="n"/>
      <c r="H1" s="81" t="n"/>
      <c r="I1" s="81" t="n"/>
    </row>
    <row r="2">
      <c r="A2" s="240" t="n"/>
      <c r="B2" s="240" t="n"/>
      <c r="C2" s="240" t="n"/>
      <c r="D2" s="240" t="n"/>
      <c r="E2" s="240" t="n"/>
      <c r="F2" s="240" t="n"/>
      <c r="G2" s="240" t="n"/>
      <c r="H2" s="240" t="n"/>
      <c r="I2" s="240" t="n"/>
    </row>
    <row r="3" ht="15.75" customFormat="1" customHeight="1" s="240">
      <c r="A3" s="88" t="inlineStr">
        <is>
          <t>Value Chain</t>
        </is>
      </c>
      <c r="I3" s="150">
        <f>SUMPRODUCT(B5:B17,D5:D17)</f>
        <v/>
      </c>
    </row>
    <row r="4" customFormat="1" s="240">
      <c r="A4" s="247" t="inlineStr">
        <is>
          <t>People</t>
        </is>
      </c>
      <c r="B4" s="2" t="inlineStr">
        <is>
          <t>Net Salary</t>
        </is>
      </c>
      <c r="C4" s="2" t="inlineStr">
        <is>
          <t>Unit</t>
        </is>
      </c>
      <c r="D4" s="2" t="inlineStr">
        <is>
          <t>Worked time</t>
        </is>
      </c>
      <c r="E4" s="2" t="inlineStr">
        <is>
          <t>Unit</t>
        </is>
      </c>
      <c r="F4" s="244" t="n"/>
      <c r="H4" s="256" t="n"/>
      <c r="I4" s="244" t="n"/>
    </row>
    <row r="5" customFormat="1" s="240">
      <c r="A5" s="23" t="inlineStr">
        <is>
          <t>General Manager</t>
        </is>
      </c>
      <c r="B5" s="153" t="n">
        <v>10000</v>
      </c>
      <c r="C5" t="inlineStr">
        <is>
          <t>$/month</t>
        </is>
      </c>
      <c r="D5" s="5" t="n">
        <v>12</v>
      </c>
      <c r="E5" t="inlineStr">
        <is>
          <t>months</t>
        </is>
      </c>
      <c r="F5" s="242" t="n"/>
      <c r="H5" s="242" t="n"/>
      <c r="I5" s="242" t="n"/>
    </row>
    <row r="6" customFormat="1" s="240">
      <c r="A6" s="23" t="inlineStr">
        <is>
          <t>Sales Representative</t>
        </is>
      </c>
      <c r="B6" s="153" t="n">
        <v>2000</v>
      </c>
      <c r="C6" t="inlineStr">
        <is>
          <t>$/month</t>
        </is>
      </c>
      <c r="D6" s="5" t="n">
        <v>12</v>
      </c>
      <c r="E6" t="inlineStr">
        <is>
          <t>months</t>
        </is>
      </c>
    </row>
    <row r="7" customFormat="1" s="240">
      <c r="A7" s="23" t="inlineStr">
        <is>
          <t xml:space="preserve">General Services Assistant </t>
        </is>
      </c>
      <c r="B7" s="153" t="n">
        <v>0</v>
      </c>
      <c r="C7" t="inlineStr">
        <is>
          <t>$/month</t>
        </is>
      </c>
      <c r="D7" s="5" t="n">
        <v>12</v>
      </c>
      <c r="E7" t="inlineStr">
        <is>
          <t>months</t>
        </is>
      </c>
    </row>
    <row r="8" customFormat="1" s="240">
      <c r="A8" s="23" t="inlineStr">
        <is>
          <t>Aquaponics Consultant</t>
        </is>
      </c>
      <c r="B8" s="153" t="n">
        <v>300</v>
      </c>
      <c r="C8" t="inlineStr">
        <is>
          <t>$/hour</t>
        </is>
      </c>
      <c r="D8" s="5" t="n">
        <v>10</v>
      </c>
      <c r="E8" t="inlineStr">
        <is>
          <t>hours</t>
        </is>
      </c>
    </row>
    <row r="9" customFormat="1" s="240">
      <c r="A9" s="23" t="inlineStr">
        <is>
          <t>Maintenance</t>
        </is>
      </c>
      <c r="B9" s="153" t="n">
        <v>20</v>
      </c>
      <c r="C9" t="inlineStr">
        <is>
          <t>$/hour</t>
        </is>
      </c>
      <c r="D9" s="5" t="n">
        <v>20</v>
      </c>
      <c r="E9" t="inlineStr">
        <is>
          <t>hours</t>
        </is>
      </c>
    </row>
    <row r="10" customFormat="1" s="240">
      <c r="A10" s="23" t="inlineStr">
        <is>
          <t>Legal Consultant</t>
        </is>
      </c>
      <c r="B10" s="153" t="n">
        <v>34.06</v>
      </c>
      <c r="C10" t="inlineStr">
        <is>
          <t>$/hour</t>
        </is>
      </c>
      <c r="D10" s="5" t="n">
        <v>5</v>
      </c>
      <c r="E10" t="inlineStr">
        <is>
          <t>hours</t>
        </is>
      </c>
    </row>
    <row r="11" customFormat="1" s="240">
      <c r="A11" s="23" t="inlineStr">
        <is>
          <t>Tax Consultant</t>
        </is>
      </c>
      <c r="B11" s="153" t="n">
        <v>20</v>
      </c>
      <c r="C11" t="inlineStr">
        <is>
          <t>$/hour</t>
        </is>
      </c>
      <c r="D11" s="5" t="n">
        <v>5</v>
      </c>
      <c r="E11" t="inlineStr">
        <is>
          <t>hours</t>
        </is>
      </c>
    </row>
    <row r="12" customFormat="1" s="240">
      <c r="A12" s="23" t="inlineStr">
        <is>
          <t>IT maintenance</t>
        </is>
      </c>
      <c r="B12" s="153" t="n">
        <v>25</v>
      </c>
      <c r="C12" t="inlineStr">
        <is>
          <t>$/hour</t>
        </is>
      </c>
      <c r="D12" s="5" t="n">
        <v>52</v>
      </c>
      <c r="E12" t="inlineStr">
        <is>
          <t>hours</t>
        </is>
      </c>
    </row>
    <row r="13" customFormat="1" s="240">
      <c r="A13" s="23" t="inlineStr">
        <is>
          <t>Security Services</t>
        </is>
      </c>
      <c r="B13" s="153" t="n">
        <v>0</v>
      </c>
      <c r="C13" t="inlineStr">
        <is>
          <t>$/hour</t>
        </is>
      </c>
      <c r="D13" s="5" t="n">
        <v>8760</v>
      </c>
      <c r="E13" t="inlineStr">
        <is>
          <t>hours</t>
        </is>
      </c>
      <c r="F13" s="248" t="n"/>
    </row>
    <row r="14" customFormat="1" s="240">
      <c r="A14" s="23" t="inlineStr">
        <is>
          <t>Accountant</t>
        </is>
      </c>
      <c r="B14" s="153" t="n">
        <v>20</v>
      </c>
      <c r="C14" t="inlineStr">
        <is>
          <t>$/hour</t>
        </is>
      </c>
      <c r="D14" s="5" t="n">
        <v>52</v>
      </c>
      <c r="E14" t="inlineStr">
        <is>
          <t>hours</t>
        </is>
      </c>
    </row>
    <row r="15" customFormat="1" s="240">
      <c r="A15" s="23" t="inlineStr">
        <is>
          <t>Veterinary</t>
        </is>
      </c>
      <c r="B15" s="153" t="n">
        <v>20</v>
      </c>
      <c r="C15" t="inlineStr">
        <is>
          <t>$/hour</t>
        </is>
      </c>
      <c r="D15" s="5" t="n">
        <v>48</v>
      </c>
      <c r="E15" t="inlineStr">
        <is>
          <t>hours</t>
        </is>
      </c>
    </row>
    <row r="16" customFormat="1" s="240">
      <c r="A16" s="23" t="inlineStr">
        <is>
          <t>Laboratory Technitian</t>
        </is>
      </c>
      <c r="B16" s="153" t="n">
        <v>20</v>
      </c>
      <c r="C16" t="inlineStr">
        <is>
          <t>$/hour</t>
        </is>
      </c>
      <c r="D16" s="5" t="n">
        <v>12</v>
      </c>
      <c r="E16" t="inlineStr">
        <is>
          <t>hours</t>
        </is>
      </c>
    </row>
    <row r="17" customFormat="1" s="240">
      <c r="A17" s="23" t="inlineStr">
        <is>
          <t>Chemical Technitian</t>
        </is>
      </c>
      <c r="B17" s="153" t="n">
        <v>20</v>
      </c>
      <c r="C17" t="inlineStr">
        <is>
          <t>$/hour</t>
        </is>
      </c>
      <c r="D17" s="5" t="n">
        <v>12</v>
      </c>
      <c r="E17" t="inlineStr">
        <is>
          <t>hours</t>
        </is>
      </c>
    </row>
    <row r="18" customFormat="1" s="240">
      <c r="A18" s="23" t="n"/>
      <c r="B18" s="153" t="n"/>
      <c r="D18" s="5" t="n"/>
    </row>
    <row r="19" ht="15.75" customFormat="1" customHeight="1" s="240">
      <c r="A19" s="88" t="inlineStr">
        <is>
          <t>Operations</t>
        </is>
      </c>
      <c r="B19" s="153" t="n"/>
      <c r="D19" s="5" t="n"/>
    </row>
    <row r="20" customFormat="1" s="240">
      <c r="A20" s="247" t="inlineStr">
        <is>
          <t>Operational people</t>
        </is>
      </c>
      <c r="B20" s="153" t="n"/>
      <c r="D20" s="5" t="n"/>
    </row>
    <row r="21" customFormat="1" s="240">
      <c r="A21" s="23" t="inlineStr">
        <is>
          <t>Crop worker</t>
        </is>
      </c>
      <c r="B21" s="153" t="n">
        <v>1500</v>
      </c>
      <c r="C21" t="inlineStr">
        <is>
          <t>$/month/100m²</t>
        </is>
      </c>
      <c r="D21" s="5" t="n">
        <v>12</v>
      </c>
      <c r="E21" t="inlineStr">
        <is>
          <t>months</t>
        </is>
      </c>
      <c r="F21" s="240">
        <f>ROUND(HYDROPONIC_AREA/100,0)</f>
        <v/>
      </c>
      <c r="G21" s="240" t="inlineStr">
        <is>
          <t>workers</t>
        </is>
      </c>
      <c r="I21" s="245" t="inlineStr">
        <is>
          <t>COGS (Costs of Goods Sold)</t>
        </is>
      </c>
    </row>
    <row r="22" customFormat="1" s="240">
      <c r="A22" s="23" t="inlineStr">
        <is>
          <t>Aquaculture worker</t>
        </is>
      </c>
      <c r="B22" s="153" t="n">
        <v>3000</v>
      </c>
      <c r="C22" t="inlineStr">
        <is>
          <t>$/month/100m²</t>
        </is>
      </c>
      <c r="D22" s="5" t="n">
        <v>12</v>
      </c>
      <c r="E22" t="inlineStr">
        <is>
          <t>months</t>
        </is>
      </c>
      <c r="F22" s="240">
        <f>ROUND(RAS_AREA/100,0)</f>
        <v/>
      </c>
      <c r="G22" s="240" t="inlineStr">
        <is>
          <t>workers</t>
        </is>
      </c>
      <c r="I22" s="150">
        <f>C23+SUM(C25:C35)+E69+D73+SUM(E41:H41)+SUM(E62:H62)</f>
        <v/>
      </c>
    </row>
    <row r="23" customFormat="1" s="240">
      <c r="A23" s="240" t="inlineStr">
        <is>
          <t>Direct Labor</t>
        </is>
      </c>
      <c r="C23" s="98">
        <f>B21*D21*F21+B22*D22*F22</f>
        <v/>
      </c>
    </row>
    <row r="24" ht="13.15" customFormat="1" customHeight="1" s="240"/>
    <row r="25" customFormat="1" s="240">
      <c r="A25" s="259" t="inlineStr">
        <is>
          <t>Oxygen ($/fish organism)</t>
        </is>
      </c>
      <c r="B25" s="364" t="n">
        <v>0</v>
      </c>
      <c r="C25" s="98">
        <f>B25*D61</f>
        <v/>
      </c>
    </row>
    <row r="26" customFormat="1" s="240">
      <c r="A26" s="259" t="inlineStr">
        <is>
          <t>Biologic Surface Area ($/fish tank)</t>
        </is>
      </c>
      <c r="B26" s="364" t="n">
        <v>50</v>
      </c>
      <c r="C26" s="98">
        <f>B26*FISH_TANK</f>
        <v/>
      </c>
    </row>
    <row r="27" customFormat="1" s="240">
      <c r="A27" s="259" t="inlineStr">
        <is>
          <t>Carbon Source ($/fish tank)</t>
        </is>
      </c>
      <c r="B27" s="364" t="n">
        <v>0</v>
      </c>
      <c r="C27" s="98">
        <f>B27*FISH_TANK</f>
        <v/>
      </c>
    </row>
    <row r="28" customFormat="1" s="240">
      <c r="A28" s="259" t="inlineStr">
        <is>
          <t>Microbiota ($/fish tank)</t>
        </is>
      </c>
      <c r="B28" s="364" t="n">
        <v>0</v>
      </c>
      <c r="C28" s="98">
        <f>B28*FISH_TANK</f>
        <v/>
      </c>
    </row>
    <row r="29" customFormat="1" s="240">
      <c r="A29" s="259" t="inlineStr">
        <is>
          <t>Insects ($/fish tank)</t>
        </is>
      </c>
      <c r="B29" s="364" t="n">
        <v>0</v>
      </c>
      <c r="C29" s="98">
        <f>B29*FISH_TANK</f>
        <v/>
      </c>
    </row>
    <row r="30" customFormat="1" s="240">
      <c r="A30" s="259" t="inlineStr">
        <is>
          <t>Worms ($/fish tank)</t>
        </is>
      </c>
      <c r="B30" s="364" t="n">
        <v>0</v>
      </c>
      <c r="C30" s="98">
        <f>B30*FISH_TANK</f>
        <v/>
      </c>
    </row>
    <row r="31">
      <c r="A31" s="259" t="inlineStr">
        <is>
          <t>Pollinator ($/plant)</t>
        </is>
      </c>
      <c r="B31" s="364" t="n">
        <v>0</v>
      </c>
      <c r="C31" s="98">
        <f>B31*$D$40</f>
        <v/>
      </c>
      <c r="E31" s="240" t="n"/>
    </row>
    <row r="32">
      <c r="A32" s="259" t="inlineStr">
        <is>
          <t>Nutrients ($/plant)</t>
        </is>
      </c>
      <c r="B32" s="364" t="n">
        <v>0.15</v>
      </c>
      <c r="C32" s="98">
        <f>B32*$D$40</f>
        <v/>
      </c>
      <c r="E32" s="240" t="n"/>
    </row>
    <row r="33">
      <c r="A33" s="259" t="inlineStr">
        <is>
          <t>Carbon Dioxide ($/plant)</t>
        </is>
      </c>
      <c r="B33" s="364" t="n">
        <v>0</v>
      </c>
      <c r="C33" s="98">
        <f>B33*$D$40</f>
        <v/>
      </c>
      <c r="E33" s="240" t="n"/>
      <c r="F33" s="63" t="n"/>
    </row>
    <row r="34">
      <c r="A34" s="233" t="inlineStr">
        <is>
          <t>Controls ($/m2)</t>
        </is>
      </c>
      <c r="B34" s="364" t="n">
        <v>10</v>
      </c>
      <c r="C34" s="98">
        <f>B34*System_Parameters!O4</f>
        <v/>
      </c>
      <c r="F34" s="63" t="n"/>
    </row>
    <row r="35">
      <c r="A35" s="259" t="inlineStr">
        <is>
          <t>Services ($/endeavour)</t>
        </is>
      </c>
      <c r="B35" s="364" t="n">
        <v>0</v>
      </c>
      <c r="C35" s="98">
        <f>B35</f>
        <v/>
      </c>
      <c r="F35" s="63" t="n"/>
    </row>
    <row r="36">
      <c r="F36" s="63" t="n"/>
      <c r="G36" s="123" t="n"/>
      <c r="I36" s="63" t="n"/>
    </row>
    <row r="37">
      <c r="G37" s="123" t="n"/>
      <c r="I37" s="123" t="n"/>
    </row>
    <row r="38">
      <c r="C38" s="16" t="n"/>
      <c r="G38" s="123" t="n"/>
      <c r="H38" s="123" t="n"/>
      <c r="I38" s="123" t="n"/>
    </row>
    <row r="39" ht="28.5" customHeight="1" s="313">
      <c r="A39" s="106" t="inlineStr">
        <is>
          <t>Chosen Greens</t>
        </is>
      </c>
      <c r="B39" t="inlineStr">
        <is>
          <t>Area (m²)</t>
        </is>
      </c>
      <c r="C39" s="16" t="inlineStr">
        <is>
          <t>Space ocupied (organism /m²)</t>
        </is>
      </c>
      <c r="D39" s="63" t="inlineStr">
        <is>
          <t># of organism</t>
        </is>
      </c>
      <c r="E39" s="32" t="inlineStr">
        <is>
          <t>Younglings ($/organism)</t>
        </is>
      </c>
      <c r="F39" s="63" t="inlineStr">
        <is>
          <t>Substrate ($/organism)</t>
        </is>
      </c>
      <c r="G39" s="256" t="inlineStr">
        <is>
          <t>Packaging ($/organism)</t>
        </is>
      </c>
      <c r="H39" s="256" t="inlineStr">
        <is>
          <t>Logistics ($/organism)</t>
        </is>
      </c>
    </row>
    <row r="40">
      <c r="A40" s="130">
        <f>CHOSEN_GREEN</f>
        <v/>
      </c>
      <c r="B40" s="130">
        <f>HYDROPONIC_AREA</f>
        <v/>
      </c>
      <c r="C40" s="130">
        <f>System_Parameters!D14</f>
        <v/>
      </c>
      <c r="D40" s="130">
        <f>C40*B40</f>
        <v/>
      </c>
      <c r="E40" s="137">
        <f>VLOOKUP($A40,$A$42:$H$52,COLUMN(),0)</f>
        <v/>
      </c>
      <c r="F40" s="137">
        <f>VLOOKUP($A40,$A$42:$H$52,COLUMN(),0)</f>
        <v/>
      </c>
      <c r="G40" s="137">
        <f>VLOOKUP($A40,$A$42:$H$52,COLUMN(),0)</f>
        <v/>
      </c>
      <c r="H40" s="137">
        <f>VLOOKUP($A40,$A$42:$H$52,COLUMN(),0)</f>
        <v/>
      </c>
    </row>
    <row r="41">
      <c r="E41" s="98">
        <f>E40*D40</f>
        <v/>
      </c>
      <c r="F41" s="98">
        <f>F40*D40</f>
        <v/>
      </c>
      <c r="G41" s="98">
        <f>G40*D40</f>
        <v/>
      </c>
      <c r="H41" s="98">
        <f>H40*D40</f>
        <v/>
      </c>
      <c r="I41" s="98">
        <f>SUM(E41:H41)</f>
        <v/>
      </c>
    </row>
    <row r="42">
      <c r="A42" t="inlineStr">
        <is>
          <t>Tomato</t>
        </is>
      </c>
      <c r="B42" s="330" t="n"/>
      <c r="E42" s="365" t="n">
        <v>0.5</v>
      </c>
      <c r="F42" s="364">
        <f>1.4*23</f>
        <v/>
      </c>
      <c r="G42" s="364" t="n">
        <v>5</v>
      </c>
      <c r="H42" s="364" t="n">
        <v>2</v>
      </c>
    </row>
    <row r="43">
      <c r="A43" t="inlineStr">
        <is>
          <t>Lettuce</t>
        </is>
      </c>
      <c r="B43" s="106" t="inlineStr">
        <is>
          <t>Lactuca sativa</t>
        </is>
      </c>
      <c r="E43" s="365" t="n">
        <v>0.04</v>
      </c>
      <c r="F43" s="364" t="n">
        <v>0.014</v>
      </c>
      <c r="G43" s="364" t="n">
        <v>0.1</v>
      </c>
      <c r="H43" s="364" t="n">
        <v>0.2</v>
      </c>
    </row>
    <row r="44">
      <c r="A44" t="inlineStr">
        <is>
          <t>Chicória</t>
        </is>
      </c>
      <c r="B44" s="106" t="inlineStr">
        <is>
          <t>Cichorium intybus</t>
        </is>
      </c>
      <c r="E44" s="365" t="n">
        <v>0.04</v>
      </c>
      <c r="F44" s="364" t="n">
        <v>0.014</v>
      </c>
      <c r="G44" s="364" t="n">
        <v>0.1</v>
      </c>
      <c r="H44" s="364" t="n">
        <v>0.2</v>
      </c>
    </row>
    <row r="45">
      <c r="A45" t="inlineStr">
        <is>
          <t>Almeirão Pão de Açúcar</t>
        </is>
      </c>
      <c r="B45" s="106" t="inlineStr">
        <is>
          <t>Cichorium intybus</t>
        </is>
      </c>
      <c r="E45" s="365" t="n">
        <v>0.04</v>
      </c>
      <c r="F45" s="364" t="n">
        <v>0.014</v>
      </c>
      <c r="G45" s="364" t="n">
        <v>0.1</v>
      </c>
      <c r="H45" s="364" t="n">
        <v>0.2</v>
      </c>
    </row>
    <row r="46">
      <c r="A46" t="inlineStr">
        <is>
          <t>Almeirão Amargo</t>
        </is>
      </c>
      <c r="B46" s="106" t="inlineStr">
        <is>
          <t>Cichorium intybus</t>
        </is>
      </c>
      <c r="E46" s="365" t="n">
        <v>0.04</v>
      </c>
      <c r="F46" s="364" t="n">
        <v>0.014</v>
      </c>
      <c r="G46" s="364" t="n">
        <v>0.1</v>
      </c>
      <c r="H46" s="364" t="n">
        <v>0.2</v>
      </c>
    </row>
    <row r="47">
      <c r="A47" t="inlineStr">
        <is>
          <t>Espinafre</t>
        </is>
      </c>
      <c r="B47" s="106" t="inlineStr">
        <is>
          <t>Spinacia oleracea</t>
        </is>
      </c>
      <c r="E47" s="365" t="n">
        <v>0.04</v>
      </c>
      <c r="F47" s="364" t="n">
        <v>0.014</v>
      </c>
      <c r="G47" s="364" t="n">
        <v>0.1</v>
      </c>
      <c r="H47" s="364" t="n">
        <v>0.2</v>
      </c>
    </row>
    <row r="48">
      <c r="A48" t="inlineStr">
        <is>
          <t>Alface</t>
        </is>
      </c>
      <c r="B48" s="106" t="inlineStr">
        <is>
          <t>Lactuca sativa</t>
        </is>
      </c>
      <c r="E48" s="365" t="n">
        <v>0.04</v>
      </c>
      <c r="F48" s="364" t="n">
        <v>0.014</v>
      </c>
      <c r="G48" s="364" t="n">
        <v>0.1</v>
      </c>
      <c r="H48" s="364" t="n">
        <v>0.2</v>
      </c>
    </row>
    <row r="49">
      <c r="A49" t="inlineStr">
        <is>
          <t>Salsinha</t>
        </is>
      </c>
      <c r="B49" s="106" t="inlineStr">
        <is>
          <t>Petroselinum crispum</t>
        </is>
      </c>
      <c r="E49" s="365" t="n">
        <v>0.04</v>
      </c>
      <c r="F49" s="364" t="n">
        <v>0.014</v>
      </c>
      <c r="G49" s="364" t="n">
        <v>0.1</v>
      </c>
      <c r="H49" s="364" t="n">
        <v>0.2</v>
      </c>
    </row>
    <row r="50">
      <c r="A50" t="inlineStr">
        <is>
          <t>Manjericão</t>
        </is>
      </c>
      <c r="B50" s="106" t="inlineStr">
        <is>
          <t>Ocimum basilicum</t>
        </is>
      </c>
      <c r="E50" s="365" t="n">
        <v>0.04</v>
      </c>
      <c r="F50" s="364" t="n">
        <v>0.014</v>
      </c>
      <c r="G50" s="364" t="n">
        <v>0.1</v>
      </c>
      <c r="H50" s="364" t="n">
        <v>0.2</v>
      </c>
    </row>
    <row r="51">
      <c r="A51" t="inlineStr">
        <is>
          <t>Agrião</t>
        </is>
      </c>
      <c r="B51" s="106" t="inlineStr">
        <is>
          <t>Nasturtium officinale</t>
        </is>
      </c>
      <c r="E51" s="365" t="n">
        <v>0.04</v>
      </c>
      <c r="F51" s="364" t="n">
        <v>0.014</v>
      </c>
      <c r="G51" s="364" t="n">
        <v>0.1</v>
      </c>
      <c r="H51" s="364" t="n">
        <v>0.2</v>
      </c>
    </row>
    <row r="52">
      <c r="A52" t="inlineStr">
        <is>
          <t>Cebolinha</t>
        </is>
      </c>
      <c r="B52" s="106" t="inlineStr">
        <is>
          <t>Allium schoenoprasum</t>
        </is>
      </c>
      <c r="E52" s="365" t="n">
        <v>0.04</v>
      </c>
      <c r="F52" s="364" t="n">
        <v>0.014</v>
      </c>
      <c r="G52" s="364" t="n">
        <v>0.1</v>
      </c>
      <c r="H52" s="364" t="n">
        <v>0.2</v>
      </c>
    </row>
    <row r="53">
      <c r="E53" s="331" t="n"/>
      <c r="F53" s="366" t="n"/>
      <c r="G53" s="366" t="n"/>
      <c r="H53" s="366" t="n"/>
    </row>
    <row r="54">
      <c r="E54" s="331" t="n"/>
      <c r="F54" s="366" t="n"/>
      <c r="G54" s="366" t="n"/>
      <c r="H54" s="366" t="n"/>
    </row>
    <row r="55">
      <c r="E55" s="331" t="n"/>
      <c r="F55" s="366" t="n"/>
      <c r="G55" s="366" t="n"/>
      <c r="H55" s="366" t="n"/>
    </row>
    <row r="56">
      <c r="E56" s="331" t="n"/>
      <c r="F56" s="366" t="n"/>
      <c r="G56" s="366" t="n"/>
      <c r="H56" s="366" t="n"/>
    </row>
    <row r="57">
      <c r="E57" s="331" t="n"/>
      <c r="F57" s="366" t="n"/>
      <c r="G57" s="366" t="n"/>
      <c r="H57" s="366" t="n"/>
    </row>
    <row r="58">
      <c r="E58" s="331" t="n"/>
      <c r="F58" s="366" t="n"/>
      <c r="G58" s="366" t="n"/>
      <c r="H58" s="366" t="n"/>
    </row>
    <row r="59" ht="14.25" customHeight="1" s="313">
      <c r="B59" s="367" t="n"/>
      <c r="C59" s="368" t="n"/>
      <c r="D59" s="125" t="n"/>
      <c r="E59" s="125" t="n"/>
      <c r="F59" s="126" t="n"/>
      <c r="G59" s="126" t="n"/>
      <c r="H59" s="123" t="n"/>
    </row>
    <row r="60" ht="28.5" customHeight="1" s="313">
      <c r="A60" s="106" t="inlineStr">
        <is>
          <t>Chosen Aquatic</t>
        </is>
      </c>
      <c r="B60" t="inlineStr">
        <is>
          <t>Area (m³)</t>
        </is>
      </c>
      <c r="C60" s="32" t="inlineStr">
        <is>
          <t>Space ocupied (organism /m³)</t>
        </is>
      </c>
      <c r="D60" s="63" t="inlineStr">
        <is>
          <t># of organism</t>
        </is>
      </c>
      <c r="E60" s="32" t="inlineStr">
        <is>
          <t>Younglings ($/organism)</t>
        </is>
      </c>
      <c r="F60" s="63" t="inlineStr">
        <is>
          <t>Feed</t>
        </is>
      </c>
      <c r="G60" s="256" t="inlineStr">
        <is>
          <t>Packaging ($/organism)</t>
        </is>
      </c>
      <c r="H60" s="256" t="inlineStr">
        <is>
          <t>Logistics ($/organism)</t>
        </is>
      </c>
    </row>
    <row r="61">
      <c r="A61" s="130">
        <f>CHOSEN_FISH</f>
        <v/>
      </c>
      <c r="B61" s="130">
        <f>System_Parameters!P10</f>
        <v/>
      </c>
      <c r="C61" s="130">
        <f>System_Parameters!D14</f>
        <v/>
      </c>
      <c r="D61" s="130">
        <f>C61*B61</f>
        <v/>
      </c>
      <c r="E61" s="137">
        <f>VLOOKUP($A61,$A$63:$H$64,COLUMN(),0)</f>
        <v/>
      </c>
      <c r="F61" s="137">
        <f>VLOOKUP($A61,$A$63:$H$64,COLUMN(),0)</f>
        <v/>
      </c>
      <c r="G61" s="137">
        <f>VLOOKUP($A61,$A$63:$H$64,COLUMN(),0)</f>
        <v/>
      </c>
      <c r="H61" s="137">
        <f>VLOOKUP($A61,$A$63:$H$64,COLUMN(),0)</f>
        <v/>
      </c>
    </row>
    <row r="62">
      <c r="A62" s="5" t="n"/>
      <c r="C62" s="5" t="n"/>
      <c r="D62" s="5" t="n"/>
      <c r="E62" s="98">
        <f>E61*D61</f>
        <v/>
      </c>
      <c r="F62" s="98">
        <f>F61*D61</f>
        <v/>
      </c>
      <c r="G62" s="98">
        <f>G61*D61</f>
        <v/>
      </c>
      <c r="H62" s="98">
        <f>H61*D61</f>
        <v/>
      </c>
      <c r="I62" s="98">
        <f>SUM(E62:H62)</f>
        <v/>
      </c>
    </row>
    <row r="63">
      <c r="A63" s="125" t="inlineStr">
        <is>
          <t>Tilapia</t>
        </is>
      </c>
      <c r="E63" s="365" t="n">
        <v>0.16</v>
      </c>
      <c r="F63" s="364" t="n">
        <v>2</v>
      </c>
      <c r="G63" s="364" t="n">
        <v>0.5</v>
      </c>
      <c r="H63" s="364" t="n">
        <v>1</v>
      </c>
    </row>
    <row r="64">
      <c r="A64" t="inlineStr">
        <is>
          <t>Trout</t>
        </is>
      </c>
      <c r="E64" s="365" t="n">
        <v>0.16</v>
      </c>
      <c r="F64" s="364" t="n">
        <v>3</v>
      </c>
      <c r="G64" s="364" t="n">
        <v>1</v>
      </c>
      <c r="H64" s="364" t="n">
        <v>1</v>
      </c>
    </row>
    <row r="65">
      <c r="I65" s="123" t="n"/>
    </row>
    <row r="68" ht="42.75" customHeight="1" s="313">
      <c r="A68" s="106" t="inlineStr">
        <is>
          <t>Chosen Region for the system</t>
        </is>
      </c>
      <c r="B68" s="243" t="inlineStr">
        <is>
          <t>Energy ($/KWh)</t>
        </is>
      </c>
      <c r="C68" s="32" t="inlineStr">
        <is>
          <t>Energy requirement Heating (kWh/year)</t>
        </is>
      </c>
      <c r="D68" s="32" t="inlineStr">
        <is>
          <t>Other equiment (kWh/year)</t>
        </is>
      </c>
    </row>
    <row r="69">
      <c r="A69" s="130">
        <f>Framework!M11</f>
        <v/>
      </c>
      <c r="B69" s="137">
        <f>VLOOKUP(A69,Parameters!A54:G60,3,0)</f>
        <v/>
      </c>
      <c r="C69" s="130">
        <f>System_Parameters!O43</f>
        <v/>
      </c>
      <c r="D69" s="130">
        <f>Investment!F5</f>
        <v/>
      </c>
      <c r="E69" s="98">
        <f>(C69+D69)*B69</f>
        <v/>
      </c>
    </row>
    <row r="72" ht="28.5" customHeight="1" s="313">
      <c r="B72" s="243" t="inlineStr">
        <is>
          <t>Water ($/m3)</t>
        </is>
      </c>
      <c r="C72" s="32" t="inlineStr">
        <is>
          <t>Additional Water (m3/year)</t>
        </is>
      </c>
    </row>
    <row r="73">
      <c r="B73" s="137">
        <f>VLOOKUP(A69,Parameters!A54:G60,6,0)</f>
        <v/>
      </c>
      <c r="C73" s="130">
        <f>System_Parameters!Q45</f>
        <v/>
      </c>
      <c r="D73" s="98">
        <f>C73*B73</f>
        <v/>
      </c>
    </row>
    <row r="74">
      <c r="B74" s="12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Lorena Silva</dc:creator>
  <dcterms:created xmlns:dcterms="http://purl.org/dc/terms/" xmlns:xsi="http://www.w3.org/2001/XMLSchema-instance" xsi:type="dcterms:W3CDTF">2025-02-04T17:34:01Z</dcterms:created>
  <dcterms:modified xmlns:dcterms="http://purl.org/dc/terms/" xmlns:xsi="http://www.w3.org/2001/XMLSchema-instance" xsi:type="dcterms:W3CDTF">2026-07-07T19:29:27Z</dcterms:modified>
  <cp:lastModifiedBy>Lorena Silva</cp:lastModifiedBy>
</cp:coreProperties>
</file>