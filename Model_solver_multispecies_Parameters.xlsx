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Downloads\files\"/>
    </mc:Choice>
  </mc:AlternateContent>
  <xr:revisionPtr revIDLastSave="0" documentId="13_ncr:1_{5A0B6694-D460-45E7-9026-DD2CFD1FCDD6}" xr6:coauthVersionLast="47" xr6:coauthVersionMax="47" xr10:uidLastSave="{00000000-0000-0000-0000-000000000000}"/>
  <bookViews>
    <workbookView xWindow="-98" yWindow="-98" windowWidth="21795" windowHeight="13875" firstSheet="4" activeTab="7" xr2:uid="{69542CA0-15AE-455D-BDA1-E587CF5543C6}"/>
  </bookViews>
  <sheets>
    <sheet name="kWh Estimativa" sheetId="15" r:id="rId1"/>
    <sheet name="Model_test" sheetId="4" r:id="rId2"/>
    <sheet name="Alternatives" sheetId="3" r:id="rId3"/>
    <sheet name="Parameters" sheetId="2" r:id="rId4"/>
    <sheet name="Multispecies_test" sheetId="13" r:id="rId5"/>
    <sheet name="User_Parameters" sheetId="16" r:id="rId6"/>
    <sheet name="Location_Data" sheetId="12" r:id="rId7"/>
    <sheet name="Framework" sheetId="5" r:id="rId8"/>
    <sheet name="System_Parameters" sheetId="10" r:id="rId9"/>
    <sheet name="Investment" sheetId="14" r:id="rId10"/>
    <sheet name="Funding" sheetId="6" r:id="rId11"/>
    <sheet name="Revenues" sheetId="9" r:id="rId12"/>
    <sheet name="Costs" sheetId="8" r:id="rId13"/>
  </sheets>
  <definedNames>
    <definedName name="_xlchart.v1.0" hidden="1">Framework!$AE$3:$AE$13</definedName>
    <definedName name="_xlchart.v1.1" hidden="1">Framework!$AF$2</definedName>
    <definedName name="_xlchart.v1.2" hidden="1">Framework!$AF$3:$AF$13</definedName>
    <definedName name="CHOSEN_FISH">Framework!$M$10</definedName>
    <definedName name="CHOSEN_GREEN">Framework!$M$9</definedName>
    <definedName name="CHOSEN_REGION">Framework!$M$11</definedName>
    <definedName name="COST_OF_CAPITAL">Funding!$D$5</definedName>
    <definedName name="DEBT_INTEREST_RATE">Funding!$D$8</definedName>
    <definedName name="FISH_TANK">System_Parameters!$Q$10</definedName>
    <definedName name="HYDROPONIC_AREA">System_Parameters!$P$4</definedName>
    <definedName name="HYDROPONICS_UNIT">System_Parameters!$P$5</definedName>
    <definedName name="MAINTENANCE_PERCENTAGE">Investment!$B$6</definedName>
    <definedName name="PARTS_PERCENTAGE" localSheetId="9">Investment!$B$7</definedName>
    <definedName name="PRODUCTIVITY_FACTOR" localSheetId="9">Investment!$H$7</definedName>
    <definedName name="PRODUCTIVITY_FACTOR">Investment!$H$7</definedName>
    <definedName name="RAS_AREA">System_Parameters!$P$8</definedName>
    <definedName name="RAS_VOLUME">System_Parameters!$P$10</definedName>
    <definedName name="solver_adj" localSheetId="2" hidden="1">Alternatives!$D$5:$D$6,Alternatives!$F$5:$F$6</definedName>
    <definedName name="solver_adj" localSheetId="7" hidden="1">Framework!$M$6</definedName>
    <definedName name="solver_adj" localSheetId="1" hidden="1">Model_test!$D$5:$D$6</definedName>
    <definedName name="solver_adj" localSheetId="4" hidden="1">Multispecies_test!$J$12:$J$22</definedName>
    <definedName name="solver_adj" localSheetId="11" hidden="1">Revenues!#REF!</definedName>
    <definedName name="solver_cvg" localSheetId="2" hidden="1">0.0001</definedName>
    <definedName name="solver_cvg" localSheetId="7" hidden="1">0.0001</definedName>
    <definedName name="solver_cvg" localSheetId="1" hidden="1">0.0001</definedName>
    <definedName name="solver_cvg" localSheetId="4" hidden="1">0.0001</definedName>
    <definedName name="solver_cvg" localSheetId="11" hidden="1">0.0001</definedName>
    <definedName name="solver_drv" localSheetId="2" hidden="1">2</definedName>
    <definedName name="solver_drv" localSheetId="7" hidden="1">1</definedName>
    <definedName name="solver_drv" localSheetId="1" hidden="1">2</definedName>
    <definedName name="solver_drv" localSheetId="4" hidden="1">1</definedName>
    <definedName name="solver_drv" localSheetId="11" hidden="1">1</definedName>
    <definedName name="solver_eng" localSheetId="2" hidden="1">1</definedName>
    <definedName name="solver_eng" localSheetId="7" hidden="1">2</definedName>
    <definedName name="solver_eng" localSheetId="1" hidden="1">2</definedName>
    <definedName name="solver_eng" localSheetId="4" hidden="1">2</definedName>
    <definedName name="solver_eng" localSheetId="11" hidden="1">1</definedName>
    <definedName name="solver_est" localSheetId="2" hidden="1">1</definedName>
    <definedName name="solver_est" localSheetId="7" hidden="1">1</definedName>
    <definedName name="solver_est" localSheetId="1" hidden="1">1</definedName>
    <definedName name="solver_est" localSheetId="4" hidden="1">1</definedName>
    <definedName name="solver_est" localSheetId="11" hidden="1">1</definedName>
    <definedName name="solver_itr" localSheetId="2" hidden="1">2147483647</definedName>
    <definedName name="solver_itr" localSheetId="7" hidden="1">2147483647</definedName>
    <definedName name="solver_itr" localSheetId="1" hidden="1">2147483647</definedName>
    <definedName name="solver_itr" localSheetId="4" hidden="1">2147483647</definedName>
    <definedName name="solver_itr" localSheetId="11" hidden="1">2147483647</definedName>
    <definedName name="solver_lhs1" localSheetId="2" hidden="1">Alternatives!$D$3</definedName>
    <definedName name="solver_lhs1" localSheetId="7" hidden="1">Framework!$M$5</definedName>
    <definedName name="solver_lhs1" localSheetId="1" hidden="1">Model_test!$D$3</definedName>
    <definedName name="solver_lhs1" localSheetId="4" hidden="1">Multispecies_test!$L$6</definedName>
    <definedName name="solver_lhs2" localSheetId="2" hidden="1">Alternatives!$D$5</definedName>
    <definedName name="solver_lhs2" localSheetId="1" hidden="1">Model_test!$D$5:$D$6</definedName>
    <definedName name="solver_lhs3" localSheetId="2" hidden="1">Alternatives!$D$6</definedName>
    <definedName name="solver_lhs3" localSheetId="1" hidden="1">Model_test!$H$3</definedName>
    <definedName name="solver_lhs4" localSheetId="2" hidden="1">Alternatives!$H$3</definedName>
    <definedName name="solver_lhs4" localSheetId="1" hidden="1">Model_test!$H$3</definedName>
    <definedName name="solver_mip" localSheetId="2" hidden="1">2147483647</definedName>
    <definedName name="solver_mip" localSheetId="7" hidden="1">2147483647</definedName>
    <definedName name="solver_mip" localSheetId="1" hidden="1">2147483647</definedName>
    <definedName name="solver_mip" localSheetId="4" hidden="1">2147483647</definedName>
    <definedName name="solver_mip" localSheetId="11" hidden="1">2147483647</definedName>
    <definedName name="solver_mni" localSheetId="2" hidden="1">30</definedName>
    <definedName name="solver_mni" localSheetId="7" hidden="1">30</definedName>
    <definedName name="solver_mni" localSheetId="1" hidden="1">30</definedName>
    <definedName name="solver_mni" localSheetId="4" hidden="1">30</definedName>
    <definedName name="solver_mni" localSheetId="11" hidden="1">30</definedName>
    <definedName name="solver_mrt" localSheetId="2" hidden="1">0.075</definedName>
    <definedName name="solver_mrt" localSheetId="7" hidden="1">0.075</definedName>
    <definedName name="solver_mrt" localSheetId="1" hidden="1">0.075</definedName>
    <definedName name="solver_mrt" localSheetId="4" hidden="1">0.075</definedName>
    <definedName name="solver_mrt" localSheetId="11" hidden="1">0.075</definedName>
    <definedName name="solver_msl" localSheetId="2" hidden="1">2</definedName>
    <definedName name="solver_msl" localSheetId="7" hidden="1">2</definedName>
    <definedName name="solver_msl" localSheetId="1" hidden="1">2</definedName>
    <definedName name="solver_msl" localSheetId="4" hidden="1">2</definedName>
    <definedName name="solver_msl" localSheetId="11" hidden="1">2</definedName>
    <definedName name="solver_neg" localSheetId="2" hidden="1">1</definedName>
    <definedName name="solver_neg" localSheetId="7" hidden="1">1</definedName>
    <definedName name="solver_neg" localSheetId="1" hidden="1">1</definedName>
    <definedName name="solver_neg" localSheetId="4" hidden="1">1</definedName>
    <definedName name="solver_neg" localSheetId="11" hidden="1">1</definedName>
    <definedName name="solver_nod" localSheetId="2" hidden="1">2147483647</definedName>
    <definedName name="solver_nod" localSheetId="7" hidden="1">2147483647</definedName>
    <definedName name="solver_nod" localSheetId="1" hidden="1">2147483647</definedName>
    <definedName name="solver_nod" localSheetId="4" hidden="1">2147483647</definedName>
    <definedName name="solver_nod" localSheetId="11" hidden="1">2147483647</definedName>
    <definedName name="solver_num" localSheetId="2" hidden="1">4</definedName>
    <definedName name="solver_num" localSheetId="7" hidden="1">0</definedName>
    <definedName name="solver_num" localSheetId="1" hidden="1">3</definedName>
    <definedName name="solver_num" localSheetId="4" hidden="1">1</definedName>
    <definedName name="solver_num" localSheetId="11" hidden="1">0</definedName>
    <definedName name="solver_nwt" localSheetId="2" hidden="1">1</definedName>
    <definedName name="solver_nwt" localSheetId="7" hidden="1">1</definedName>
    <definedName name="solver_nwt" localSheetId="1" hidden="1">1</definedName>
    <definedName name="solver_nwt" localSheetId="4" hidden="1">1</definedName>
    <definedName name="solver_nwt" localSheetId="11" hidden="1">1</definedName>
    <definedName name="solver_opt" localSheetId="2" hidden="1">Alternatives!$I$3</definedName>
    <definedName name="solver_opt" localSheetId="7" hidden="1">Framework!$S$20</definedName>
    <definedName name="solver_opt" localSheetId="1" hidden="1">Model_test!$I$3</definedName>
    <definedName name="solver_opt" localSheetId="4" hidden="1">Multispecies_test!$L$3</definedName>
    <definedName name="solver_opt" localSheetId="11" hidden="1">Revenues!#REF!</definedName>
    <definedName name="solver_pre" localSheetId="2" hidden="1">0.000001</definedName>
    <definedName name="solver_pre" localSheetId="7" hidden="1">0.000001</definedName>
    <definedName name="solver_pre" localSheetId="1" hidden="1">0.000001</definedName>
    <definedName name="solver_pre" localSheetId="4" hidden="1">0.000001</definedName>
    <definedName name="solver_pre" localSheetId="11" hidden="1">0.000001</definedName>
    <definedName name="solver_rbv" localSheetId="2" hidden="1">2</definedName>
    <definedName name="solver_rbv" localSheetId="7" hidden="1">1</definedName>
    <definedName name="solver_rbv" localSheetId="1" hidden="1">2</definedName>
    <definedName name="solver_rbv" localSheetId="4" hidden="1">1</definedName>
    <definedName name="solver_rbv" localSheetId="11" hidden="1">1</definedName>
    <definedName name="solver_rel1" localSheetId="2" hidden="1">2</definedName>
    <definedName name="solver_rel1" localSheetId="7" hidden="1">1</definedName>
    <definedName name="solver_rel1" localSheetId="1" hidden="1">2</definedName>
    <definedName name="solver_rel1" localSheetId="4" hidden="1">1</definedName>
    <definedName name="solver_rel2" localSheetId="2" hidden="1">5</definedName>
    <definedName name="solver_rel2" localSheetId="1" hidden="1">5</definedName>
    <definedName name="solver_rel3" localSheetId="2" hidden="1">5</definedName>
    <definedName name="solver_rel3" localSheetId="1" hidden="1">1</definedName>
    <definedName name="solver_rel4" localSheetId="2" hidden="1">1</definedName>
    <definedName name="solver_rel4" localSheetId="1" hidden="1">1</definedName>
    <definedName name="solver_rhs1" localSheetId="2" hidden="1">Alternatives!$D$2</definedName>
    <definedName name="solver_rhs1" localSheetId="7" hidden="1">Framework!$N$5</definedName>
    <definedName name="solver_rhs1" localSheetId="1" hidden="1">Model_test!$D$2</definedName>
    <definedName name="solver_rhs1" localSheetId="4" hidden="1">Multispecies_test!$N$12</definedName>
    <definedName name="solver_rhs2" localSheetId="2" hidden="1">"binary"</definedName>
    <definedName name="solver_rhs2" localSheetId="1" hidden="1">"binary"</definedName>
    <definedName name="solver_rhs3" localSheetId="2" hidden="1">"binary"</definedName>
    <definedName name="solver_rhs3" localSheetId="1" hidden="1">Model_test!$H$2</definedName>
    <definedName name="solver_rhs4" localSheetId="2" hidden="1">Alternatives!$H$2</definedName>
    <definedName name="solver_rhs4" localSheetId="1" hidden="1">Model_test!$H$2</definedName>
    <definedName name="solver_rlx" localSheetId="2" hidden="1">2</definedName>
    <definedName name="solver_rlx" localSheetId="7" hidden="1">2</definedName>
    <definedName name="solver_rlx" localSheetId="1" hidden="1">2</definedName>
    <definedName name="solver_rlx" localSheetId="4" hidden="1">2</definedName>
    <definedName name="solver_rlx" localSheetId="11" hidden="1">2</definedName>
    <definedName name="solver_rsd" localSheetId="2" hidden="1">0</definedName>
    <definedName name="solver_rsd" localSheetId="7" hidden="1">0</definedName>
    <definedName name="solver_rsd" localSheetId="1" hidden="1">0</definedName>
    <definedName name="solver_rsd" localSheetId="4" hidden="1">0</definedName>
    <definedName name="solver_rsd" localSheetId="11" hidden="1">0</definedName>
    <definedName name="solver_scl" localSheetId="2" hidden="1">2</definedName>
    <definedName name="solver_scl" localSheetId="7" hidden="1">1</definedName>
    <definedName name="solver_scl" localSheetId="1" hidden="1">2</definedName>
    <definedName name="solver_scl" localSheetId="4" hidden="1">1</definedName>
    <definedName name="solver_scl" localSheetId="11" hidden="1">1</definedName>
    <definedName name="solver_sho" localSheetId="2" hidden="1">2</definedName>
    <definedName name="solver_sho" localSheetId="7" hidden="1">2</definedName>
    <definedName name="solver_sho" localSheetId="1" hidden="1">2</definedName>
    <definedName name="solver_sho" localSheetId="4" hidden="1">2</definedName>
    <definedName name="solver_sho" localSheetId="11" hidden="1">2</definedName>
    <definedName name="solver_ssz" localSheetId="2" hidden="1">100</definedName>
    <definedName name="solver_ssz" localSheetId="7" hidden="1">100</definedName>
    <definedName name="solver_ssz" localSheetId="1" hidden="1">100</definedName>
    <definedName name="solver_ssz" localSheetId="4" hidden="1">100</definedName>
    <definedName name="solver_ssz" localSheetId="11" hidden="1">100</definedName>
    <definedName name="solver_tim" localSheetId="2" hidden="1">2147483647</definedName>
    <definedName name="solver_tim" localSheetId="7" hidden="1">2147483647</definedName>
    <definedName name="solver_tim" localSheetId="1" hidden="1">2147483647</definedName>
    <definedName name="solver_tim" localSheetId="4" hidden="1">2147483647</definedName>
    <definedName name="solver_tim" localSheetId="11" hidden="1">2147483647</definedName>
    <definedName name="solver_tol" localSheetId="2" hidden="1">0.01</definedName>
    <definedName name="solver_tol" localSheetId="7" hidden="1">0.01</definedName>
    <definedName name="solver_tol" localSheetId="1" hidden="1">0.01</definedName>
    <definedName name="solver_tol" localSheetId="4" hidden="1">0.01</definedName>
    <definedName name="solver_tol" localSheetId="11" hidden="1">0.01</definedName>
    <definedName name="solver_typ" localSheetId="2" hidden="1">1</definedName>
    <definedName name="solver_typ" localSheetId="7" hidden="1">3</definedName>
    <definedName name="solver_typ" localSheetId="1" hidden="1">1</definedName>
    <definedName name="solver_typ" localSheetId="4" hidden="1">1</definedName>
    <definedName name="solver_typ" localSheetId="11" hidden="1">3</definedName>
    <definedName name="solver_val" localSheetId="2" hidden="1">0</definedName>
    <definedName name="solver_val" localSheetId="7" hidden="1">0</definedName>
    <definedName name="solver_val" localSheetId="1" hidden="1">0</definedName>
    <definedName name="solver_val" localSheetId="4" hidden="1">0</definedName>
    <definedName name="solver_val" localSheetId="11" hidden="1">0</definedName>
    <definedName name="solver_ver" localSheetId="2" hidden="1">3</definedName>
    <definedName name="solver_ver" localSheetId="7" hidden="1">3</definedName>
    <definedName name="solver_ver" localSheetId="1" hidden="1">3</definedName>
    <definedName name="solver_ver" localSheetId="4" hidden="1">3</definedName>
    <definedName name="solver_ver" localSheetId="11" hidden="1">3</definedName>
    <definedName name="TOTAL_AREA">Framework!$M$6</definedName>
    <definedName name="WACC">Funding!$L$5</definedName>
    <definedName name="YEAR_FISH_PRODUCTION">System_Parameters!$R$8</definedName>
    <definedName name="YEAR_GREEN_PRODUCTION">System_Parameters!$R$4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5" l="1"/>
  <c r="U10" i="5"/>
  <c r="V10" i="5"/>
  <c r="W10" i="5"/>
  <c r="X10" i="5"/>
  <c r="Y10" i="5"/>
  <c r="Z10" i="5"/>
  <c r="AA10" i="5"/>
  <c r="AB10" i="5"/>
  <c r="AC10" i="5"/>
  <c r="S10" i="5"/>
  <c r="F38" i="15"/>
  <c r="F37" i="15"/>
  <c r="F36" i="15"/>
  <c r="F35" i="15"/>
  <c r="F34" i="15"/>
  <c r="F33" i="15"/>
  <c r="F32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4" i="15"/>
  <c r="F13" i="15"/>
  <c r="F12" i="15"/>
  <c r="F11" i="15"/>
  <c r="F10" i="15"/>
  <c r="L66" i="14"/>
  <c r="M66" i="14"/>
  <c r="N66" i="14"/>
  <c r="O66" i="14"/>
  <c r="P66" i="14"/>
  <c r="Q66" i="14"/>
  <c r="R66" i="14"/>
  <c r="S66" i="14"/>
  <c r="T66" i="14"/>
  <c r="U66" i="14"/>
  <c r="L67" i="14"/>
  <c r="M67" i="14"/>
  <c r="N67" i="14"/>
  <c r="O67" i="14"/>
  <c r="P67" i="14"/>
  <c r="Q67" i="14"/>
  <c r="R67" i="14"/>
  <c r="S67" i="14"/>
  <c r="T67" i="14"/>
  <c r="U67" i="14"/>
  <c r="L68" i="14"/>
  <c r="M68" i="14"/>
  <c r="N68" i="14"/>
  <c r="O68" i="14"/>
  <c r="P68" i="14"/>
  <c r="Q68" i="14"/>
  <c r="R68" i="14"/>
  <c r="S68" i="14"/>
  <c r="T68" i="14"/>
  <c r="U68" i="14"/>
  <c r="L69" i="14"/>
  <c r="M69" i="14"/>
  <c r="N69" i="14"/>
  <c r="O69" i="14"/>
  <c r="P69" i="14"/>
  <c r="Q69" i="14"/>
  <c r="R69" i="14"/>
  <c r="S69" i="14"/>
  <c r="T69" i="14"/>
  <c r="U69" i="14"/>
  <c r="K67" i="14"/>
  <c r="K68" i="14"/>
  <c r="K69" i="14"/>
  <c r="K66" i="14"/>
  <c r="I49" i="14"/>
  <c r="H44" i="14"/>
  <c r="H45" i="14"/>
  <c r="H46" i="14"/>
  <c r="H47" i="14"/>
  <c r="H43" i="14"/>
  <c r="H55" i="14"/>
  <c r="H56" i="14"/>
  <c r="H57" i="14"/>
  <c r="L60" i="14"/>
  <c r="M60" i="14"/>
  <c r="N60" i="14"/>
  <c r="O60" i="14"/>
  <c r="P60" i="14"/>
  <c r="Q60" i="14"/>
  <c r="R60" i="14"/>
  <c r="S60" i="14"/>
  <c r="T60" i="14"/>
  <c r="U60" i="14"/>
  <c r="L61" i="14"/>
  <c r="M61" i="14"/>
  <c r="N61" i="14"/>
  <c r="O61" i="14"/>
  <c r="P61" i="14"/>
  <c r="Q61" i="14"/>
  <c r="R61" i="14"/>
  <c r="S61" i="14"/>
  <c r="T61" i="14"/>
  <c r="U61" i="14"/>
  <c r="K60" i="14"/>
  <c r="K61" i="14"/>
  <c r="H51" i="14"/>
  <c r="H52" i="14"/>
  <c r="H53" i="14"/>
  <c r="K74" i="14"/>
  <c r="H36" i="14"/>
  <c r="H35" i="14"/>
  <c r="H37" i="14"/>
  <c r="H38" i="14"/>
  <c r="I33" i="14"/>
  <c r="I9" i="14"/>
  <c r="G7" i="9"/>
  <c r="K14" i="14"/>
  <c r="L14" i="14"/>
  <c r="M14" i="14"/>
  <c r="N14" i="14"/>
  <c r="O14" i="14"/>
  <c r="P14" i="14"/>
  <c r="Q14" i="14"/>
  <c r="R14" i="14"/>
  <c r="S14" i="14"/>
  <c r="T14" i="14"/>
  <c r="U14" i="14"/>
  <c r="K15" i="14"/>
  <c r="L15" i="14"/>
  <c r="M15" i="14"/>
  <c r="N15" i="14"/>
  <c r="O15" i="14"/>
  <c r="P15" i="14"/>
  <c r="Q15" i="14"/>
  <c r="R15" i="14"/>
  <c r="S15" i="14"/>
  <c r="T15" i="14"/>
  <c r="U15" i="14"/>
  <c r="K16" i="14"/>
  <c r="L16" i="14"/>
  <c r="M16" i="14"/>
  <c r="N16" i="14"/>
  <c r="O16" i="14"/>
  <c r="P16" i="14"/>
  <c r="Q16" i="14"/>
  <c r="R16" i="14"/>
  <c r="S16" i="14"/>
  <c r="T16" i="14"/>
  <c r="U16" i="14"/>
  <c r="K17" i="14"/>
  <c r="L17" i="14"/>
  <c r="M17" i="14"/>
  <c r="N17" i="14"/>
  <c r="O17" i="14"/>
  <c r="P17" i="14"/>
  <c r="Q17" i="14"/>
  <c r="R17" i="14"/>
  <c r="S17" i="14"/>
  <c r="T17" i="14"/>
  <c r="U17" i="14"/>
  <c r="K18" i="14"/>
  <c r="L18" i="14"/>
  <c r="M18" i="14"/>
  <c r="N18" i="14"/>
  <c r="O18" i="14"/>
  <c r="P18" i="14"/>
  <c r="Q18" i="14"/>
  <c r="R18" i="14"/>
  <c r="S18" i="14"/>
  <c r="T18" i="14"/>
  <c r="U18" i="14"/>
  <c r="K19" i="14"/>
  <c r="L19" i="14"/>
  <c r="M19" i="14"/>
  <c r="N19" i="14"/>
  <c r="O19" i="14"/>
  <c r="P19" i="14"/>
  <c r="Q19" i="14"/>
  <c r="R19" i="14"/>
  <c r="S19" i="14"/>
  <c r="T19" i="14"/>
  <c r="U19" i="14"/>
  <c r="K20" i="14"/>
  <c r="L20" i="14"/>
  <c r="M20" i="14"/>
  <c r="N20" i="14"/>
  <c r="O20" i="14"/>
  <c r="P20" i="14"/>
  <c r="Q20" i="14"/>
  <c r="R20" i="14"/>
  <c r="S20" i="14"/>
  <c r="T20" i="14"/>
  <c r="U20" i="14"/>
  <c r="K21" i="14"/>
  <c r="L21" i="14"/>
  <c r="M21" i="14"/>
  <c r="N21" i="14"/>
  <c r="O21" i="14"/>
  <c r="P21" i="14"/>
  <c r="Q21" i="14"/>
  <c r="R21" i="14"/>
  <c r="S21" i="14"/>
  <c r="T21" i="14"/>
  <c r="U21" i="14"/>
  <c r="K12" i="14"/>
  <c r="L12" i="14"/>
  <c r="M12" i="14"/>
  <c r="N12" i="14"/>
  <c r="O12" i="14"/>
  <c r="P12" i="14"/>
  <c r="Q12" i="14"/>
  <c r="R12" i="14"/>
  <c r="S12" i="14"/>
  <c r="T12" i="14"/>
  <c r="U12" i="14"/>
  <c r="K13" i="14"/>
  <c r="L13" i="14"/>
  <c r="M13" i="14"/>
  <c r="N13" i="14"/>
  <c r="O13" i="14"/>
  <c r="P13" i="14"/>
  <c r="Q13" i="14"/>
  <c r="R13" i="14"/>
  <c r="S13" i="14"/>
  <c r="T13" i="14"/>
  <c r="U13" i="14"/>
  <c r="L11" i="14"/>
  <c r="M11" i="14"/>
  <c r="N11" i="14"/>
  <c r="O11" i="14"/>
  <c r="P11" i="14"/>
  <c r="Q11" i="14"/>
  <c r="R11" i="14"/>
  <c r="S11" i="14"/>
  <c r="T11" i="14"/>
  <c r="U11" i="14"/>
  <c r="K11" i="14"/>
  <c r="A60" i="10"/>
  <c r="A66" i="10"/>
  <c r="H54" i="14"/>
  <c r="H25" i="14"/>
  <c r="H14" i="14"/>
  <c r="H15" i="14"/>
  <c r="H16" i="14"/>
  <c r="H17" i="14"/>
  <c r="H18" i="14"/>
  <c r="H19" i="14"/>
  <c r="H20" i="14"/>
  <c r="H21" i="14"/>
  <c r="H26" i="14"/>
  <c r="H27" i="14"/>
  <c r="H28" i="14"/>
  <c r="H29" i="14"/>
  <c r="H30" i="14"/>
  <c r="H31" i="14"/>
  <c r="B62" i="14"/>
  <c r="B59" i="14"/>
  <c r="A14" i="10"/>
  <c r="A17" i="10"/>
  <c r="L3" i="13"/>
  <c r="L6" i="13"/>
  <c r="I13" i="13"/>
  <c r="I14" i="13"/>
  <c r="I15" i="13"/>
  <c r="I16" i="13"/>
  <c r="I17" i="13"/>
  <c r="I18" i="13"/>
  <c r="I19" i="13"/>
  <c r="I20" i="13"/>
  <c r="I21" i="13"/>
  <c r="I22" i="13"/>
  <c r="I12" i="13"/>
  <c r="A25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M10" i="13"/>
  <c r="I21" i="10"/>
  <c r="J21" i="10"/>
  <c r="K21" i="10"/>
  <c r="I22" i="10"/>
  <c r="J22" i="10"/>
  <c r="K22" i="10"/>
  <c r="I23" i="10"/>
  <c r="J23" i="10"/>
  <c r="K23" i="10"/>
  <c r="I24" i="10"/>
  <c r="J24" i="10"/>
  <c r="K24" i="10"/>
  <c r="I25" i="10"/>
  <c r="J25" i="10"/>
  <c r="K25" i="10"/>
  <c r="I26" i="10"/>
  <c r="J26" i="10"/>
  <c r="K26" i="10"/>
  <c r="I27" i="10"/>
  <c r="J27" i="10"/>
  <c r="K27" i="10"/>
  <c r="I28" i="10"/>
  <c r="J28" i="10"/>
  <c r="K28" i="10"/>
  <c r="I29" i="10"/>
  <c r="J29" i="10"/>
  <c r="K29" i="10"/>
  <c r="I20" i="10"/>
  <c r="J20" i="10"/>
  <c r="A61" i="8"/>
  <c r="A40" i="8"/>
  <c r="C5" i="6"/>
  <c r="A6" i="9"/>
  <c r="A4" i="9"/>
  <c r="N4" i="10"/>
  <c r="C35" i="8"/>
  <c r="A69" i="8"/>
  <c r="F42" i="8"/>
  <c r="I3" i="8"/>
  <c r="C44" i="10"/>
  <c r="D64" i="10"/>
  <c r="D63" i="10"/>
  <c r="D62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B55" i="10"/>
  <c r="C43" i="10"/>
  <c r="J3" i="6"/>
  <c r="J4" i="6"/>
  <c r="H3" i="4"/>
  <c r="I5" i="4"/>
  <c r="I6" i="4"/>
  <c r="D3" i="4"/>
  <c r="H3" i="3"/>
  <c r="D3" i="3"/>
  <c r="I6" i="3"/>
  <c r="I5" i="3"/>
  <c r="F40" i="8" l="1"/>
  <c r="G40" i="8"/>
  <c r="H40" i="8"/>
  <c r="E40" i="8"/>
  <c r="F39" i="15"/>
  <c r="L59" i="14"/>
  <c r="M59" i="14"/>
  <c r="N59" i="14"/>
  <c r="O59" i="14"/>
  <c r="P59" i="14"/>
  <c r="Q59" i="14"/>
  <c r="R59" i="14"/>
  <c r="S59" i="14"/>
  <c r="T59" i="14"/>
  <c r="U59" i="14"/>
  <c r="K73" i="14"/>
  <c r="L47" i="5" s="1"/>
  <c r="L65" i="14"/>
  <c r="M65" i="14"/>
  <c r="N65" i="14"/>
  <c r="O65" i="14"/>
  <c r="P65" i="14"/>
  <c r="Q65" i="14"/>
  <c r="R65" i="14"/>
  <c r="S65" i="14"/>
  <c r="T65" i="14"/>
  <c r="U65" i="14"/>
  <c r="L64" i="14"/>
  <c r="O64" i="14"/>
  <c r="R64" i="14"/>
  <c r="N64" i="14"/>
  <c r="P64" i="14"/>
  <c r="Q64" i="14"/>
  <c r="L62" i="14"/>
  <c r="M62" i="14"/>
  <c r="N62" i="14"/>
  <c r="O62" i="14"/>
  <c r="P62" i="14"/>
  <c r="Q62" i="14"/>
  <c r="R62" i="14"/>
  <c r="S62" i="14"/>
  <c r="T62" i="14"/>
  <c r="U62" i="14"/>
  <c r="K62" i="14"/>
  <c r="K59" i="14"/>
  <c r="L74" i="14"/>
  <c r="O10" i="14"/>
  <c r="N10" i="14"/>
  <c r="L10" i="14"/>
  <c r="P10" i="14"/>
  <c r="M10" i="14"/>
  <c r="U10" i="14"/>
  <c r="T10" i="14"/>
  <c r="S10" i="14"/>
  <c r="R10" i="14"/>
  <c r="Q10" i="14"/>
  <c r="K10" i="14"/>
  <c r="H7" i="14"/>
  <c r="D14" i="10"/>
  <c r="C40" i="8" s="1"/>
  <c r="F14" i="10"/>
  <c r="D65" i="10" s="1"/>
  <c r="G14" i="10"/>
  <c r="D66" i="10" s="1"/>
  <c r="E66" i="10" s="1"/>
  <c r="F66" i="10" s="1"/>
  <c r="G66" i="10" s="1"/>
  <c r="H66" i="10" s="1"/>
  <c r="I66" i="10" s="1"/>
  <c r="J66" i="10" s="1"/>
  <c r="K66" i="10" s="1"/>
  <c r="L66" i="10" s="1"/>
  <c r="M66" i="10" s="1"/>
  <c r="N66" i="10" s="1"/>
  <c r="O66" i="10" s="1"/>
  <c r="H14" i="10"/>
  <c r="D67" i="10" s="1"/>
  <c r="C14" i="10"/>
  <c r="E14" i="10"/>
  <c r="H17" i="10"/>
  <c r="D61" i="10" s="1"/>
  <c r="G17" i="10"/>
  <c r="D60" i="10" s="1"/>
  <c r="E17" i="10"/>
  <c r="C17" i="10"/>
  <c r="I17" i="10" s="1"/>
  <c r="F17" i="10"/>
  <c r="D59" i="10" s="1"/>
  <c r="D17" i="10"/>
  <c r="E25" i="13"/>
  <c r="D25" i="13"/>
  <c r="C25" i="13"/>
  <c r="F25" i="13" s="1"/>
  <c r="H22" i="13"/>
  <c r="H21" i="13"/>
  <c r="H20" i="13"/>
  <c r="H19" i="13"/>
  <c r="H18" i="13"/>
  <c r="H17" i="13"/>
  <c r="H16" i="13"/>
  <c r="H15" i="13"/>
  <c r="H14" i="13"/>
  <c r="H13" i="13"/>
  <c r="M12" i="13"/>
  <c r="H12" i="13"/>
  <c r="K20" i="10"/>
  <c r="E61" i="8"/>
  <c r="G61" i="8"/>
  <c r="H61" i="8"/>
  <c r="F61" i="8"/>
  <c r="B73" i="8"/>
  <c r="B69" i="8"/>
  <c r="E27" i="5"/>
  <c r="T7" i="5" s="1"/>
  <c r="U7" i="5" s="1"/>
  <c r="E74" i="10"/>
  <c r="F74" i="10"/>
  <c r="G74" i="10"/>
  <c r="H74" i="10"/>
  <c r="I74" i="10"/>
  <c r="J74" i="10"/>
  <c r="K74" i="10"/>
  <c r="L74" i="10"/>
  <c r="M74" i="10"/>
  <c r="N74" i="10"/>
  <c r="O74" i="10"/>
  <c r="D74" i="10"/>
  <c r="E62" i="10"/>
  <c r="F62" i="10" s="1"/>
  <c r="G62" i="10" s="1"/>
  <c r="H62" i="10" s="1"/>
  <c r="I62" i="10" s="1"/>
  <c r="J62" i="10" s="1"/>
  <c r="K62" i="10" s="1"/>
  <c r="L62" i="10" s="1"/>
  <c r="M62" i="10" s="1"/>
  <c r="N62" i="10" s="1"/>
  <c r="O62" i="10" s="1"/>
  <c r="E63" i="10"/>
  <c r="F63" i="10" s="1"/>
  <c r="G63" i="10" s="1"/>
  <c r="H63" i="10" s="1"/>
  <c r="I63" i="10" s="1"/>
  <c r="J63" i="10" s="1"/>
  <c r="K63" i="10" s="1"/>
  <c r="L63" i="10" s="1"/>
  <c r="M63" i="10" s="1"/>
  <c r="N63" i="10" s="1"/>
  <c r="O63" i="10" s="1"/>
  <c r="E64" i="10"/>
  <c r="F64" i="10" s="1"/>
  <c r="L26" i="5"/>
  <c r="C4" i="9"/>
  <c r="C6" i="9"/>
  <c r="O4" i="10"/>
  <c r="I3" i="4"/>
  <c r="T64" i="14" l="1"/>
  <c r="S64" i="14"/>
  <c r="U64" i="14"/>
  <c r="M64" i="14"/>
  <c r="Q58" i="14"/>
  <c r="R58" i="14"/>
  <c r="S58" i="14"/>
  <c r="T58" i="14"/>
  <c r="U58" i="14"/>
  <c r="M74" i="14"/>
  <c r="M73" i="14" s="1"/>
  <c r="L73" i="14"/>
  <c r="M58" i="14"/>
  <c r="N58" i="14"/>
  <c r="P58" i="14"/>
  <c r="L58" i="14"/>
  <c r="O58" i="14"/>
  <c r="K58" i="14"/>
  <c r="N74" i="14"/>
  <c r="D4" i="9"/>
  <c r="H25" i="13"/>
  <c r="D68" i="10"/>
  <c r="C61" i="8"/>
  <c r="K17" i="10"/>
  <c r="J17" i="10"/>
  <c r="N14" i="13"/>
  <c r="G25" i="13"/>
  <c r="C34" i="8"/>
  <c r="E65" i="10"/>
  <c r="F65" i="10" s="1"/>
  <c r="G65" i="10" s="1"/>
  <c r="H65" i="10" s="1"/>
  <c r="I65" i="10" s="1"/>
  <c r="J65" i="10" s="1"/>
  <c r="K65" i="10" s="1"/>
  <c r="L65" i="10" s="1"/>
  <c r="M65" i="10" s="1"/>
  <c r="N65" i="10" s="1"/>
  <c r="O65" i="10" s="1"/>
  <c r="V7" i="5"/>
  <c r="W7" i="5" s="1"/>
  <c r="X7" i="5" s="1"/>
  <c r="Y7" i="5" s="1"/>
  <c r="Z7" i="5" s="1"/>
  <c r="AA7" i="5" s="1"/>
  <c r="AB7" i="5" s="1"/>
  <c r="AC7" i="5" s="1"/>
  <c r="AF6" i="5" s="1"/>
  <c r="E67" i="10"/>
  <c r="F67" i="10" s="1"/>
  <c r="G64" i="10"/>
  <c r="J14" i="10"/>
  <c r="J19" i="10"/>
  <c r="I14" i="10"/>
  <c r="K14" i="10" s="1"/>
  <c r="I19" i="10"/>
  <c r="K19" i="10" s="1"/>
  <c r="I3" i="3"/>
  <c r="O74" i="14" l="1"/>
  <c r="N73" i="14"/>
  <c r="E60" i="10"/>
  <c r="F60" i="10" s="1"/>
  <c r="G60" i="10" s="1"/>
  <c r="H60" i="10" s="1"/>
  <c r="I60" i="10" s="1"/>
  <c r="J60" i="10" s="1"/>
  <c r="K60" i="10" s="1"/>
  <c r="L60" i="10" s="1"/>
  <c r="M60" i="10" s="1"/>
  <c r="N60" i="10" s="1"/>
  <c r="O60" i="10" s="1"/>
  <c r="E61" i="10"/>
  <c r="F61" i="10" s="1"/>
  <c r="G61" i="10" s="1"/>
  <c r="H61" i="10" s="1"/>
  <c r="I61" i="10" s="1"/>
  <c r="J61" i="10" s="1"/>
  <c r="K61" i="10" s="1"/>
  <c r="L61" i="10" s="1"/>
  <c r="M61" i="10" s="1"/>
  <c r="N61" i="10" s="1"/>
  <c r="O61" i="10" s="1"/>
  <c r="O14" i="13"/>
  <c r="P14" i="13"/>
  <c r="N16" i="13"/>
  <c r="O16" i="13"/>
  <c r="N12" i="13"/>
  <c r="G67" i="10"/>
  <c r="H67" i="10" s="1"/>
  <c r="I67" i="10" s="1"/>
  <c r="J67" i="10" s="1"/>
  <c r="K67" i="10" s="1"/>
  <c r="L67" i="10" s="1"/>
  <c r="M67" i="10" s="1"/>
  <c r="N67" i="10" s="1"/>
  <c r="O67" i="10" s="1"/>
  <c r="D69" i="10"/>
  <c r="E59" i="10"/>
  <c r="F59" i="10" s="1"/>
  <c r="G59" i="10" s="1"/>
  <c r="H59" i="10" s="1"/>
  <c r="I59" i="10" s="1"/>
  <c r="J59" i="10" s="1"/>
  <c r="K59" i="10" s="1"/>
  <c r="L59" i="10" s="1"/>
  <c r="M59" i="10" s="1"/>
  <c r="N59" i="10" s="1"/>
  <c r="O59" i="10" s="1"/>
  <c r="E70" i="10"/>
  <c r="F70" i="10"/>
  <c r="G70" i="10"/>
  <c r="H70" i="10"/>
  <c r="I70" i="10"/>
  <c r="J70" i="10"/>
  <c r="K70" i="10"/>
  <c r="L70" i="10"/>
  <c r="M70" i="10"/>
  <c r="N70" i="10"/>
  <c r="O70" i="10"/>
  <c r="D70" i="10"/>
  <c r="H64" i="10"/>
  <c r="P8" i="10"/>
  <c r="F22" i="8" l="1"/>
  <c r="R8" i="10"/>
  <c r="O73" i="14"/>
  <c r="P74" i="14"/>
  <c r="P4" i="10"/>
  <c r="B2" i="14"/>
  <c r="P12" i="13"/>
  <c r="O12" i="13"/>
  <c r="E68" i="10"/>
  <c r="I64" i="10"/>
  <c r="Q10" i="10"/>
  <c r="R4" i="10" l="1"/>
  <c r="B40" i="8"/>
  <c r="D40" i="8" s="1"/>
  <c r="F45" i="14"/>
  <c r="F36" i="14"/>
  <c r="F35" i="14"/>
  <c r="F38" i="14"/>
  <c r="F21" i="8"/>
  <c r="C23" i="8" s="1"/>
  <c r="I43" i="5" s="1"/>
  <c r="M51" i="14"/>
  <c r="N51" i="14"/>
  <c r="O51" i="14"/>
  <c r="P51" i="14"/>
  <c r="Q51" i="14"/>
  <c r="R51" i="14"/>
  <c r="S51" i="14"/>
  <c r="T51" i="14"/>
  <c r="U51" i="14"/>
  <c r="L52" i="14"/>
  <c r="M52" i="14"/>
  <c r="N52" i="14"/>
  <c r="O52" i="14"/>
  <c r="P52" i="14"/>
  <c r="Q52" i="14"/>
  <c r="R52" i="14"/>
  <c r="S52" i="14"/>
  <c r="T52" i="14"/>
  <c r="U52" i="14"/>
  <c r="L53" i="14"/>
  <c r="M53" i="14"/>
  <c r="N53" i="14"/>
  <c r="O53" i="14"/>
  <c r="P53" i="14"/>
  <c r="Q53" i="14"/>
  <c r="R53" i="14"/>
  <c r="S53" i="14"/>
  <c r="T53" i="14"/>
  <c r="U53" i="14"/>
  <c r="L54" i="14"/>
  <c r="M54" i="14"/>
  <c r="N54" i="14"/>
  <c r="O54" i="14"/>
  <c r="P54" i="14"/>
  <c r="Q54" i="14"/>
  <c r="R54" i="14"/>
  <c r="S54" i="14"/>
  <c r="T54" i="14"/>
  <c r="U54" i="14"/>
  <c r="L55" i="14"/>
  <c r="M55" i="14"/>
  <c r="N55" i="14"/>
  <c r="P55" i="14"/>
  <c r="Q55" i="14"/>
  <c r="R55" i="14"/>
  <c r="S55" i="14"/>
  <c r="T55" i="14"/>
  <c r="U55" i="14"/>
  <c r="L56" i="14"/>
  <c r="M56" i="14"/>
  <c r="N56" i="14"/>
  <c r="O56" i="14"/>
  <c r="P56" i="14"/>
  <c r="Q56" i="14"/>
  <c r="R56" i="14"/>
  <c r="S56" i="14"/>
  <c r="T56" i="14"/>
  <c r="U56" i="14"/>
  <c r="L57" i="14"/>
  <c r="M57" i="14"/>
  <c r="N57" i="14"/>
  <c r="O57" i="14"/>
  <c r="P57" i="14"/>
  <c r="Q57" i="14"/>
  <c r="R57" i="14"/>
  <c r="S57" i="14"/>
  <c r="T57" i="14"/>
  <c r="U57" i="14"/>
  <c r="K52" i="14"/>
  <c r="K53" i="14"/>
  <c r="K54" i="14"/>
  <c r="K55" i="14"/>
  <c r="K56" i="14"/>
  <c r="K57" i="14"/>
  <c r="K51" i="14"/>
  <c r="L51" i="14"/>
  <c r="O55" i="14"/>
  <c r="P73" i="14"/>
  <c r="Q74" i="14"/>
  <c r="L35" i="14"/>
  <c r="M35" i="14"/>
  <c r="N35" i="14"/>
  <c r="O35" i="14"/>
  <c r="P35" i="14"/>
  <c r="Q35" i="14"/>
  <c r="R35" i="14"/>
  <c r="S35" i="14"/>
  <c r="T35" i="14"/>
  <c r="U35" i="14"/>
  <c r="L36" i="14"/>
  <c r="M36" i="14"/>
  <c r="N36" i="14"/>
  <c r="O36" i="14"/>
  <c r="P36" i="14"/>
  <c r="Q36" i="14"/>
  <c r="R36" i="14"/>
  <c r="S36" i="14"/>
  <c r="T36" i="14"/>
  <c r="U36" i="14"/>
  <c r="L37" i="14"/>
  <c r="M37" i="14"/>
  <c r="N37" i="14"/>
  <c r="O37" i="14"/>
  <c r="P37" i="14"/>
  <c r="Q37" i="14"/>
  <c r="R37" i="14"/>
  <c r="S37" i="14"/>
  <c r="T37" i="14"/>
  <c r="U37" i="14"/>
  <c r="L38" i="14"/>
  <c r="M38" i="14"/>
  <c r="N38" i="14"/>
  <c r="P38" i="14"/>
  <c r="Q38" i="14"/>
  <c r="T38" i="14"/>
  <c r="U38" i="14"/>
  <c r="K37" i="14"/>
  <c r="B34" i="14"/>
  <c r="P5" i="10"/>
  <c r="O38" i="14"/>
  <c r="R38" i="14"/>
  <c r="S38" i="14"/>
  <c r="K36" i="14"/>
  <c r="K38" i="14"/>
  <c r="K35" i="14"/>
  <c r="B5" i="14"/>
  <c r="B22" i="14"/>
  <c r="B4" i="14"/>
  <c r="E69" i="10"/>
  <c r="F68" i="10"/>
  <c r="J64" i="10"/>
  <c r="P10" i="10"/>
  <c r="C26" i="8"/>
  <c r="H33" i="5" s="1"/>
  <c r="B6" i="9"/>
  <c r="G6" i="9" s="1"/>
  <c r="J26" i="5" s="1"/>
  <c r="Q8" i="10"/>
  <c r="K50" i="14" l="1"/>
  <c r="K49" i="14" s="1"/>
  <c r="H47" i="5" s="1"/>
  <c r="U50" i="14"/>
  <c r="U49" i="14" s="1"/>
  <c r="L50" i="14"/>
  <c r="L49" i="14" s="1"/>
  <c r="N50" i="14"/>
  <c r="N49" i="14" s="1"/>
  <c r="O50" i="14"/>
  <c r="O49" i="14" s="1"/>
  <c r="P50" i="14"/>
  <c r="P49" i="14" s="1"/>
  <c r="Q50" i="14"/>
  <c r="Q49" i="14" s="1"/>
  <c r="R50" i="14"/>
  <c r="R49" i="14" s="1"/>
  <c r="S50" i="14"/>
  <c r="S49" i="14" s="1"/>
  <c r="T50" i="14"/>
  <c r="T49" i="14" s="1"/>
  <c r="M50" i="14"/>
  <c r="M49" i="14" s="1"/>
  <c r="F60" i="14"/>
  <c r="F25" i="14"/>
  <c r="F21" i="14"/>
  <c r="F20" i="14"/>
  <c r="F19" i="14"/>
  <c r="F5" i="14" s="1"/>
  <c r="Q73" i="14"/>
  <c r="R74" i="14"/>
  <c r="B39" i="14"/>
  <c r="K40" i="14"/>
  <c r="K47" i="14"/>
  <c r="K46" i="14"/>
  <c r="K45" i="14"/>
  <c r="K44" i="14"/>
  <c r="K43" i="14"/>
  <c r="K42" i="14"/>
  <c r="K41" i="14"/>
  <c r="U47" i="14"/>
  <c r="T47" i="14"/>
  <c r="S47" i="14"/>
  <c r="R47" i="14"/>
  <c r="Q47" i="14"/>
  <c r="P47" i="14"/>
  <c r="O47" i="14"/>
  <c r="N47" i="14"/>
  <c r="M47" i="14"/>
  <c r="L47" i="14"/>
  <c r="U46" i="14"/>
  <c r="T46" i="14"/>
  <c r="S46" i="14"/>
  <c r="R46" i="14"/>
  <c r="Q46" i="14"/>
  <c r="P46" i="14"/>
  <c r="O46" i="14"/>
  <c r="N46" i="14"/>
  <c r="M46" i="14"/>
  <c r="L46" i="14"/>
  <c r="U45" i="14"/>
  <c r="T45" i="14"/>
  <c r="S45" i="14"/>
  <c r="R45" i="14"/>
  <c r="Q45" i="14"/>
  <c r="P45" i="14"/>
  <c r="O45" i="14"/>
  <c r="N45" i="14"/>
  <c r="M45" i="14"/>
  <c r="U44" i="14"/>
  <c r="S44" i="14"/>
  <c r="Q44" i="14"/>
  <c r="O44" i="14"/>
  <c r="M44" i="14"/>
  <c r="U43" i="14"/>
  <c r="S43" i="14"/>
  <c r="Q43" i="14"/>
  <c r="O43" i="14"/>
  <c r="L43" i="14"/>
  <c r="T42" i="14"/>
  <c r="R42" i="14"/>
  <c r="P42" i="14"/>
  <c r="O42" i="14"/>
  <c r="M42" i="14"/>
  <c r="U41" i="14"/>
  <c r="S41" i="14"/>
  <c r="R41" i="14"/>
  <c r="O41" i="14"/>
  <c r="M41" i="14"/>
  <c r="U40" i="14"/>
  <c r="S40" i="14"/>
  <c r="Q40" i="14"/>
  <c r="O40" i="14"/>
  <c r="M40" i="14"/>
  <c r="L45" i="14"/>
  <c r="T44" i="14"/>
  <c r="R44" i="14"/>
  <c r="P44" i="14"/>
  <c r="N44" i="14"/>
  <c r="L44" i="14"/>
  <c r="T43" i="14"/>
  <c r="R43" i="14"/>
  <c r="P43" i="14"/>
  <c r="N43" i="14"/>
  <c r="M43" i="14"/>
  <c r="U42" i="14"/>
  <c r="S42" i="14"/>
  <c r="Q42" i="14"/>
  <c r="N42" i="14"/>
  <c r="L42" i="14"/>
  <c r="T41" i="14"/>
  <c r="Q41" i="14"/>
  <c r="P41" i="14"/>
  <c r="N41" i="14"/>
  <c r="L41" i="14"/>
  <c r="T40" i="14"/>
  <c r="R40" i="14"/>
  <c r="P40" i="14"/>
  <c r="N40" i="14"/>
  <c r="L40" i="14"/>
  <c r="K34" i="14"/>
  <c r="L34" i="14"/>
  <c r="M34" i="14"/>
  <c r="N34" i="14"/>
  <c r="O34" i="14"/>
  <c r="P34" i="14"/>
  <c r="Q34" i="14"/>
  <c r="R34" i="14"/>
  <c r="S34" i="14"/>
  <c r="T34" i="14"/>
  <c r="U34" i="14"/>
  <c r="L23" i="14"/>
  <c r="M23" i="14"/>
  <c r="N23" i="14"/>
  <c r="O23" i="14"/>
  <c r="P23" i="14"/>
  <c r="Q23" i="14"/>
  <c r="R23" i="14"/>
  <c r="S23" i="14"/>
  <c r="T23" i="14"/>
  <c r="U23" i="14"/>
  <c r="L24" i="14"/>
  <c r="M24" i="14"/>
  <c r="N24" i="14"/>
  <c r="O24" i="14"/>
  <c r="P24" i="14"/>
  <c r="Q24" i="14"/>
  <c r="R24" i="14"/>
  <c r="S24" i="14"/>
  <c r="T24" i="14"/>
  <c r="U24" i="14"/>
  <c r="L25" i="14"/>
  <c r="M25" i="14"/>
  <c r="N25" i="14"/>
  <c r="O25" i="14"/>
  <c r="P25" i="14"/>
  <c r="Q25" i="14"/>
  <c r="R25" i="14"/>
  <c r="S25" i="14"/>
  <c r="T25" i="14"/>
  <c r="U25" i="14"/>
  <c r="L26" i="14"/>
  <c r="M26" i="14"/>
  <c r="N26" i="14"/>
  <c r="O26" i="14"/>
  <c r="P26" i="14"/>
  <c r="Q26" i="14"/>
  <c r="R26" i="14"/>
  <c r="S26" i="14"/>
  <c r="T26" i="14"/>
  <c r="U26" i="14"/>
  <c r="L27" i="14"/>
  <c r="M27" i="14"/>
  <c r="N27" i="14"/>
  <c r="O27" i="14"/>
  <c r="P27" i="14"/>
  <c r="Q27" i="14"/>
  <c r="R27" i="14"/>
  <c r="S27" i="14"/>
  <c r="T27" i="14"/>
  <c r="U27" i="14"/>
  <c r="L28" i="14"/>
  <c r="M28" i="14"/>
  <c r="N28" i="14"/>
  <c r="O28" i="14"/>
  <c r="P28" i="14"/>
  <c r="Q28" i="14"/>
  <c r="R28" i="14"/>
  <c r="S28" i="14"/>
  <c r="T28" i="14"/>
  <c r="U28" i="14"/>
  <c r="L29" i="14"/>
  <c r="M29" i="14"/>
  <c r="N29" i="14"/>
  <c r="O29" i="14"/>
  <c r="P29" i="14"/>
  <c r="Q29" i="14"/>
  <c r="R29" i="14"/>
  <c r="S29" i="14"/>
  <c r="T29" i="14"/>
  <c r="U29" i="14"/>
  <c r="L30" i="14"/>
  <c r="M30" i="14"/>
  <c r="N30" i="14"/>
  <c r="O30" i="14"/>
  <c r="P30" i="14"/>
  <c r="Q30" i="14"/>
  <c r="R30" i="14"/>
  <c r="S30" i="14"/>
  <c r="T30" i="14"/>
  <c r="U30" i="14"/>
  <c r="L31" i="14"/>
  <c r="M31" i="14"/>
  <c r="N31" i="14"/>
  <c r="O31" i="14"/>
  <c r="P31" i="14"/>
  <c r="Q31" i="14"/>
  <c r="R31" i="14"/>
  <c r="S31" i="14"/>
  <c r="T31" i="14"/>
  <c r="U31" i="14"/>
  <c r="K24" i="14"/>
  <c r="K25" i="14"/>
  <c r="K26" i="14"/>
  <c r="K27" i="14"/>
  <c r="K28" i="14"/>
  <c r="K29" i="14"/>
  <c r="K30" i="14"/>
  <c r="K31" i="14"/>
  <c r="K23" i="14"/>
  <c r="G68" i="10"/>
  <c r="D71" i="10"/>
  <c r="B3" i="14"/>
  <c r="F69" i="10"/>
  <c r="C31" i="8"/>
  <c r="J37" i="5" s="1"/>
  <c r="C32" i="8"/>
  <c r="J39" i="5" s="1"/>
  <c r="F41" i="8"/>
  <c r="J35" i="5" s="1"/>
  <c r="H41" i="8"/>
  <c r="E41" i="8"/>
  <c r="C33" i="8"/>
  <c r="J41" i="5" s="1"/>
  <c r="G41" i="8"/>
  <c r="C30" i="8"/>
  <c r="H41" i="5" s="1"/>
  <c r="C29" i="8"/>
  <c r="H39" i="5" s="1"/>
  <c r="C28" i="8"/>
  <c r="H37" i="5" s="1"/>
  <c r="C27" i="8"/>
  <c r="H35" i="5" s="1"/>
  <c r="E72" i="10"/>
  <c r="E73" i="10"/>
  <c r="E75" i="10" s="1"/>
  <c r="F73" i="10"/>
  <c r="F75" i="10" s="1"/>
  <c r="G73" i="10"/>
  <c r="G75" i="10" s="1"/>
  <c r="H73" i="10"/>
  <c r="H75" i="10" s="1"/>
  <c r="I73" i="10"/>
  <c r="I75" i="10" s="1"/>
  <c r="J73" i="10"/>
  <c r="J75" i="10" s="1"/>
  <c r="K73" i="10"/>
  <c r="K75" i="10" s="1"/>
  <c r="L73" i="10"/>
  <c r="L75" i="10" s="1"/>
  <c r="M73" i="10"/>
  <c r="M75" i="10" s="1"/>
  <c r="N73" i="10"/>
  <c r="N75" i="10" s="1"/>
  <c r="O73" i="10"/>
  <c r="O75" i="10" s="1"/>
  <c r="D73" i="10"/>
  <c r="D75" i="10" s="1"/>
  <c r="D72" i="10"/>
  <c r="E71" i="10"/>
  <c r="B61" i="8"/>
  <c r="D61" i="8" s="1"/>
  <c r="K64" i="10"/>
  <c r="B4" i="9"/>
  <c r="G4" i="9" s="1"/>
  <c r="J4" i="9" s="1"/>
  <c r="Q4" i="10"/>
  <c r="D69" i="8" l="1"/>
  <c r="U32" i="5"/>
  <c r="R73" i="14"/>
  <c r="S74" i="14"/>
  <c r="J5" i="9"/>
  <c r="K71" i="14"/>
  <c r="K70" i="14" s="1"/>
  <c r="K65" i="14" s="1"/>
  <c r="K64" i="14" s="1"/>
  <c r="D47" i="5" s="1"/>
  <c r="O45" i="10"/>
  <c r="R39" i="14"/>
  <c r="P39" i="14"/>
  <c r="N39" i="14"/>
  <c r="L39" i="14"/>
  <c r="L33" i="14" s="1"/>
  <c r="O39" i="14"/>
  <c r="O33" i="14" s="1"/>
  <c r="T39" i="14"/>
  <c r="T33" i="14" s="1"/>
  <c r="N33" i="14"/>
  <c r="P33" i="14"/>
  <c r="R33" i="14"/>
  <c r="K39" i="14"/>
  <c r="K33" i="14" s="1"/>
  <c r="J47" i="5" s="1"/>
  <c r="U39" i="14"/>
  <c r="U33" i="14" s="1"/>
  <c r="S39" i="14"/>
  <c r="S33" i="14" s="1"/>
  <c r="Q39" i="14"/>
  <c r="Q33" i="14" s="1"/>
  <c r="M39" i="14"/>
  <c r="M33" i="14" s="1"/>
  <c r="G69" i="10"/>
  <c r="H68" i="10"/>
  <c r="K22" i="14"/>
  <c r="K9" i="14" s="1"/>
  <c r="L22" i="14"/>
  <c r="L9" i="14" s="1"/>
  <c r="M22" i="14"/>
  <c r="M9" i="14" s="1"/>
  <c r="M7" i="14" s="1"/>
  <c r="N22" i="14"/>
  <c r="N9" i="14" s="1"/>
  <c r="O22" i="14"/>
  <c r="O9" i="14" s="1"/>
  <c r="P22" i="14"/>
  <c r="P9" i="14" s="1"/>
  <c r="Q22" i="14"/>
  <c r="Q9" i="14" s="1"/>
  <c r="R22" i="14"/>
  <c r="R9" i="14" s="1"/>
  <c r="S22" i="14"/>
  <c r="S9" i="14" s="1"/>
  <c r="T22" i="14"/>
  <c r="T9" i="14" s="1"/>
  <c r="U22" i="14"/>
  <c r="U9" i="14" s="1"/>
  <c r="F72" i="10"/>
  <c r="F71" i="10"/>
  <c r="J33" i="5"/>
  <c r="I41" i="8"/>
  <c r="G62" i="8"/>
  <c r="C25" i="8"/>
  <c r="F39" i="5" s="1"/>
  <c r="F62" i="8"/>
  <c r="F35" i="5" s="1"/>
  <c r="H62" i="8"/>
  <c r="E62" i="8"/>
  <c r="I62" i="8" s="1"/>
  <c r="K4" i="9"/>
  <c r="L64" i="10"/>
  <c r="F26" i="5"/>
  <c r="M26" i="5" s="1"/>
  <c r="U3" i="5" s="1"/>
  <c r="L7" i="14" l="1"/>
  <c r="N7" i="14"/>
  <c r="O7" i="14"/>
  <c r="P7" i="14"/>
  <c r="Q7" i="14"/>
  <c r="R7" i="14"/>
  <c r="S7" i="14"/>
  <c r="T7" i="14"/>
  <c r="U7" i="14"/>
  <c r="S73" i="14"/>
  <c r="T74" i="14"/>
  <c r="K7" i="14"/>
  <c r="K5" i="14"/>
  <c r="G72" i="10"/>
  <c r="H69" i="10"/>
  <c r="I68" i="10"/>
  <c r="F47" i="5"/>
  <c r="L5" i="14"/>
  <c r="M5" i="14"/>
  <c r="N5" i="14"/>
  <c r="O5" i="14"/>
  <c r="P5" i="14"/>
  <c r="Q5" i="14"/>
  <c r="R5" i="14"/>
  <c r="S5" i="14"/>
  <c r="T5" i="14"/>
  <c r="U5" i="14"/>
  <c r="G71" i="10"/>
  <c r="L34" i="5"/>
  <c r="F33" i="5"/>
  <c r="T3" i="5"/>
  <c r="K5" i="9"/>
  <c r="U4" i="5" s="1"/>
  <c r="U5" i="5" s="1"/>
  <c r="M64" i="10"/>
  <c r="T73" i="14" l="1"/>
  <c r="U74" i="14"/>
  <c r="U73" i="14" s="1"/>
  <c r="H71" i="10"/>
  <c r="H72" i="10"/>
  <c r="I69" i="10"/>
  <c r="J68" i="10"/>
  <c r="K6" i="14"/>
  <c r="L6" i="14"/>
  <c r="M6" i="14"/>
  <c r="N6" i="14"/>
  <c r="O6" i="14"/>
  <c r="P6" i="14"/>
  <c r="Q6" i="14"/>
  <c r="R6" i="14"/>
  <c r="S6" i="14"/>
  <c r="T6" i="14"/>
  <c r="U6" i="14"/>
  <c r="T4" i="5"/>
  <c r="V4" i="5" s="1"/>
  <c r="W4" i="5" s="1"/>
  <c r="X4" i="5" s="1"/>
  <c r="Y4" i="5" s="1"/>
  <c r="Z4" i="5" s="1"/>
  <c r="AA4" i="5" s="1"/>
  <c r="AB4" i="5" s="1"/>
  <c r="AC4" i="5" s="1"/>
  <c r="AF4" i="5" s="1"/>
  <c r="N64" i="10"/>
  <c r="K4" i="14" l="1"/>
  <c r="M47" i="5" s="1"/>
  <c r="I71" i="10"/>
  <c r="I72" i="10"/>
  <c r="J69" i="10"/>
  <c r="K68" i="10"/>
  <c r="O4" i="14"/>
  <c r="P4" i="14"/>
  <c r="X13" i="5" s="1"/>
  <c r="Q4" i="14"/>
  <c r="Y13" i="5" s="1"/>
  <c r="R4" i="14"/>
  <c r="Z13" i="5" s="1"/>
  <c r="S4" i="14"/>
  <c r="AA13" i="5" s="1"/>
  <c r="T4" i="14"/>
  <c r="AB13" i="5" s="1"/>
  <c r="U4" i="14"/>
  <c r="AC13" i="5" s="1"/>
  <c r="AF11" i="5" s="1"/>
  <c r="L4" i="14"/>
  <c r="T13" i="5" s="1"/>
  <c r="M4" i="14"/>
  <c r="U13" i="5" s="1"/>
  <c r="N4" i="14"/>
  <c r="V13" i="5" s="1"/>
  <c r="S13" i="5"/>
  <c r="S14" i="5" s="1"/>
  <c r="S16" i="5" s="1"/>
  <c r="T5" i="5"/>
  <c r="O64" i="10"/>
  <c r="V3" i="5"/>
  <c r="V5" i="5" s="1"/>
  <c r="C3" i="6" l="1"/>
  <c r="W13" i="5"/>
  <c r="J71" i="10"/>
  <c r="J72" i="10"/>
  <c r="K69" i="10"/>
  <c r="L68" i="10"/>
  <c r="W3" i="5"/>
  <c r="W5" i="5" s="1"/>
  <c r="K71" i="10" l="1"/>
  <c r="L69" i="10"/>
  <c r="M68" i="10"/>
  <c r="B5" i="6"/>
  <c r="K72" i="10"/>
  <c r="X3" i="5"/>
  <c r="X5" i="5" s="1"/>
  <c r="L71" i="10"/>
  <c r="L72" i="10"/>
  <c r="M69" i="10"/>
  <c r="N68" i="10"/>
  <c r="I3" i="6" l="1"/>
  <c r="B8" i="6"/>
  <c r="Y3" i="5"/>
  <c r="Y5" i="5" s="1"/>
  <c r="M71" i="10"/>
  <c r="M72" i="10"/>
  <c r="N69" i="10"/>
  <c r="O68" i="10"/>
  <c r="O69" i="10" s="1"/>
  <c r="C8" i="6" l="1"/>
  <c r="I4" i="6"/>
  <c r="K3" i="6"/>
  <c r="L3" i="6"/>
  <c r="C14" i="6"/>
  <c r="D14" i="6" s="1"/>
  <c r="G8" i="6"/>
  <c r="K4" i="6"/>
  <c r="L4" i="6"/>
  <c r="L5" i="6" s="1"/>
  <c r="Z3" i="5"/>
  <c r="Z5" i="5" s="1"/>
  <c r="P69" i="10" a="1"/>
  <c r="N71" i="10"/>
  <c r="N72" i="10"/>
  <c r="O71" i="10"/>
  <c r="O72" i="10"/>
  <c r="O43" i="10" s="1"/>
  <c r="AA3" i="5" l="1"/>
  <c r="AA5" i="5" s="1"/>
  <c r="D15" i="6"/>
  <c r="D17" i="6"/>
  <c r="T11" i="5" s="1"/>
  <c r="S17" i="5"/>
  <c r="S18" i="5" s="1"/>
  <c r="Q45" i="10"/>
  <c r="S34" i="5"/>
  <c r="AB3" i="5" l="1"/>
  <c r="AB5" i="5" s="1"/>
  <c r="D16" i="6"/>
  <c r="T15" i="5" s="1"/>
  <c r="D18" i="6"/>
  <c r="E14" i="6" s="1"/>
  <c r="C69" i="8"/>
  <c r="E69" i="8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F8" i="5" s="1"/>
  <c r="S32" i="5"/>
  <c r="U34" i="5"/>
  <c r="C73" i="8"/>
  <c r="D73" i="8" s="1"/>
  <c r="AC3" i="5" l="1"/>
  <c r="E15" i="6"/>
  <c r="E17" i="6"/>
  <c r="U11" i="5" s="1"/>
  <c r="G43" i="5"/>
  <c r="T8" i="5"/>
  <c r="U8" i="5" s="1"/>
  <c r="V8" i="5" s="1"/>
  <c r="W8" i="5" s="1"/>
  <c r="X8" i="5" s="1"/>
  <c r="Y8" i="5" s="1"/>
  <c r="Z8" i="5" s="1"/>
  <c r="AA8" i="5" s="1"/>
  <c r="AB8" i="5" s="1"/>
  <c r="AC8" i="5" s="1"/>
  <c r="AF7" i="5" s="1"/>
  <c r="K43" i="5"/>
  <c r="I22" i="8"/>
  <c r="AC5" i="5" l="1"/>
  <c r="AF3" i="5"/>
  <c r="E16" i="6"/>
  <c r="U15" i="5" s="1"/>
  <c r="E18" i="6"/>
  <c r="F14" i="6" s="1"/>
  <c r="T6" i="5"/>
  <c r="M34" i="5"/>
  <c r="N34" i="5" s="1"/>
  <c r="F17" i="6" l="1"/>
  <c r="V11" i="5" s="1"/>
  <c r="F15" i="6"/>
  <c r="U6" i="5"/>
  <c r="U12" i="5" s="1"/>
  <c r="U14" i="5" s="1"/>
  <c r="U16" i="5" s="1"/>
  <c r="U17" i="5" s="1"/>
  <c r="T12" i="5"/>
  <c r="T14" i="5" s="1"/>
  <c r="T16" i="5" s="1"/>
  <c r="T17" i="5" s="1"/>
  <c r="F18" i="6" l="1"/>
  <c r="G14" i="6" s="1"/>
  <c r="F16" i="6"/>
  <c r="V15" i="5" s="1"/>
  <c r="T18" i="5"/>
  <c r="V6" i="5"/>
  <c r="U18" i="5"/>
  <c r="G17" i="6" l="1"/>
  <c r="W11" i="5" s="1"/>
  <c r="G15" i="6"/>
  <c r="V12" i="5"/>
  <c r="V14" i="5" s="1"/>
  <c r="V16" i="5" s="1"/>
  <c r="V17" i="5" s="1"/>
  <c r="W6" i="5"/>
  <c r="G18" i="6" l="1"/>
  <c r="H14" i="6" s="1"/>
  <c r="G16" i="6"/>
  <c r="W15" i="5" s="1"/>
  <c r="V18" i="5"/>
  <c r="W12" i="5"/>
  <c r="W14" i="5" s="1"/>
  <c r="X6" i="5"/>
  <c r="X12" i="5" s="1"/>
  <c r="H17" i="6" l="1"/>
  <c r="X11" i="5" s="1"/>
  <c r="H15" i="6"/>
  <c r="W16" i="5"/>
  <c r="W17" i="5" s="1"/>
  <c r="Y6" i="5"/>
  <c r="H18" i="6" l="1"/>
  <c r="I14" i="6" s="1"/>
  <c r="I17" i="6" s="1"/>
  <c r="Y11" i="5" s="1"/>
  <c r="H16" i="6"/>
  <c r="X15" i="5" s="1"/>
  <c r="X14" i="5"/>
  <c r="W18" i="5"/>
  <c r="Y12" i="5"/>
  <c r="Z6" i="5"/>
  <c r="Z12" i="5" s="1"/>
  <c r="I15" i="6" l="1"/>
  <c r="I16" i="6" s="1"/>
  <c r="Y15" i="5" s="1"/>
  <c r="X16" i="5"/>
  <c r="X17" i="5" s="1"/>
  <c r="X18" i="5" s="1"/>
  <c r="Y14" i="5"/>
  <c r="AA6" i="5"/>
  <c r="Y16" i="5" l="1"/>
  <c r="Y17" i="5" s="1"/>
  <c r="I18" i="6"/>
  <c r="J14" i="6" s="1"/>
  <c r="AA12" i="5"/>
  <c r="AB6" i="5"/>
  <c r="AB12" i="5" s="1"/>
  <c r="AC6" i="5" l="1"/>
  <c r="Y18" i="5"/>
  <c r="J15" i="6"/>
  <c r="J17" i="6"/>
  <c r="Z11" i="5" s="1"/>
  <c r="Z14" i="5" s="1"/>
  <c r="AF5" i="5"/>
  <c r="AC12" i="5"/>
  <c r="AF10" i="5" s="1"/>
  <c r="J16" i="6" l="1"/>
  <c r="Z15" i="5" s="1"/>
  <c r="J18" i="6"/>
  <c r="K14" i="6" s="1"/>
  <c r="Z16" i="5" l="1"/>
  <c r="Z17" i="5" s="1"/>
  <c r="Z18" i="5" s="1"/>
  <c r="K17" i="6"/>
  <c r="AA11" i="5" s="1"/>
  <c r="AA14" i="5" s="1"/>
  <c r="K15" i="6"/>
  <c r="K16" i="6" s="1"/>
  <c r="AA15" i="5" s="1"/>
  <c r="K18" i="6" l="1"/>
  <c r="L14" i="6" s="1"/>
  <c r="AA16" i="5"/>
  <c r="AA17" i="5" s="1"/>
  <c r="L15" i="6" l="1"/>
  <c r="L17" i="6"/>
  <c r="AA18" i="5"/>
  <c r="L18" i="6" l="1"/>
  <c r="M14" i="6" s="1"/>
  <c r="AB11" i="5"/>
  <c r="AB14" i="5" s="1"/>
  <c r="M17" i="6"/>
  <c r="AC11" i="5" s="1"/>
  <c r="L16" i="6"/>
  <c r="AB15" i="5" s="1"/>
  <c r="M15" i="6" l="1"/>
  <c r="AB16" i="5"/>
  <c r="AB17" i="5" s="1"/>
  <c r="AB18" i="5" s="1"/>
  <c r="AF9" i="5"/>
  <c r="AC14" i="5"/>
  <c r="M11" i="6"/>
  <c r="M18" i="6"/>
  <c r="M16" i="6"/>
  <c r="AC15" i="5" s="1"/>
  <c r="AF12" i="5" s="1"/>
  <c r="AF13" i="5" l="1"/>
  <c r="AC16" i="5"/>
  <c r="AC17" i="5" l="1"/>
  <c r="AC18" i="5" s="1"/>
  <c r="S22" i="5" s="1" a="1"/>
  <c r="P35" i="5" s="1"/>
  <c r="S20" i="5"/>
  <c r="P34" i="5" l="1"/>
  <c r="T2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sharedStrings.xml><?xml version="1.0" encoding="utf-8"?>
<sst xmlns="http://schemas.openxmlformats.org/spreadsheetml/2006/main" count="875" uniqueCount="552">
  <si>
    <t>Fish</t>
  </si>
  <si>
    <t>Feed</t>
  </si>
  <si>
    <t>Oxygen</t>
  </si>
  <si>
    <t>Biologic Surface Area</t>
  </si>
  <si>
    <t>Temp Min</t>
  </si>
  <si>
    <t>Temp Max</t>
  </si>
  <si>
    <t>Carbon Source</t>
  </si>
  <si>
    <t>Microbiota</t>
  </si>
  <si>
    <t>Worms</t>
  </si>
  <si>
    <t>Green Younglings</t>
  </si>
  <si>
    <t>Substrate</t>
  </si>
  <si>
    <t>Pollinator</t>
  </si>
  <si>
    <t>Nutrients</t>
  </si>
  <si>
    <t>Carbon Dioxide</t>
  </si>
  <si>
    <t>Water</t>
  </si>
  <si>
    <t>Cost</t>
  </si>
  <si>
    <t>Investment</t>
  </si>
  <si>
    <t>Greens</t>
  </si>
  <si>
    <t>Energy</t>
  </si>
  <si>
    <t>Tilapia</t>
  </si>
  <si>
    <t>Lettuce</t>
  </si>
  <si>
    <t>m²</t>
  </si>
  <si>
    <t>$</t>
  </si>
  <si>
    <t>Pump</t>
  </si>
  <si>
    <t xml:space="preserve">Change UV bulbs at least once a year. </t>
  </si>
  <si>
    <t>Power failure is probably the most common emergency and the one most easily monitored.</t>
  </si>
  <si>
    <t xml:space="preserve">Backup electricity can be provided by a generator that is fueled with gasoline, diesel, or natural or propane gas. </t>
  </si>
  <si>
    <t xml:space="preserve">At a minimum the laboratory will include equipment for water quality analysis, a microscope for fish health management, a refrigerator for chemicals and samples, and a computer for data analysis and storage. </t>
  </si>
  <si>
    <t xml:space="preserve">Some Norwegian salmon fanners use grading to cull the smallest, least efficient feeders and might remove as much as 50% of the population. Maintaining inefficient feeders can create a 30-50% increase in production costs; </t>
  </si>
  <si>
    <t xml:space="preserve">A monthly sampling interval is a reasonable compromise between minimizing stress and maximizing accuracy. </t>
  </si>
  <si>
    <t>TIMMONS</t>
  </si>
  <si>
    <t>FAO</t>
  </si>
  <si>
    <t>o guarantee a long life span and energy efficiency. Top-quality pumps will maintain their pumping capacity and efficiency for least 1–2  years, with an overall life span of 3–5  years, w</t>
  </si>
  <si>
    <t>the small-scale units described in this publication need a flow rate of 2 000 litres/h at a head height of 1.5 meters; a submersible pump of this capacity would consume 25–50 W/h.</t>
  </si>
  <si>
    <t>The suggested rate is 5–8 litres of air per minute for each cubic metre of water, coming from at least 2 air stones in different locations in the fish tank. Densely stocked units may require considerably more.</t>
  </si>
  <si>
    <t>Tilapias can be aggressive, especially in low densities, because males are territorial. Therefore, the fish should be kept at high densities in the grow-out tanks. Some farms only use male fish in the grow-out tanks;</t>
  </si>
  <si>
    <t>Microorganisms</t>
  </si>
  <si>
    <t>Administration &amp; Logistics Infrastructure</t>
  </si>
  <si>
    <t>SYSTEM CONTROL</t>
  </si>
  <si>
    <t>Year 0</t>
  </si>
  <si>
    <t>Year 1</t>
  </si>
  <si>
    <t>Year 2</t>
  </si>
  <si>
    <t>Gross Revenue (Sales)</t>
  </si>
  <si>
    <t>(=) Net Revenue</t>
  </si>
  <si>
    <t>(-) Cost of Goods Sold (COGS)</t>
  </si>
  <si>
    <t>(=) EBITDA</t>
  </si>
  <si>
    <t>(-) Debt Interest</t>
  </si>
  <si>
    <t>(=) CASH FLOW</t>
  </si>
  <si>
    <t xml:space="preserve">(-) Project financing loan repayment </t>
  </si>
  <si>
    <t>FREE CASH FLOW</t>
  </si>
  <si>
    <t>Net Present Value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</si>
  <si>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</si>
  <si>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</si>
  <si>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</si>
  <si>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</si>
  <si>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</si>
  <si>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</si>
  <si>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</si>
  <si>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</si>
  <si>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WACC</t>
  </si>
  <si>
    <t>People</t>
  </si>
  <si>
    <t>Rate</t>
  </si>
  <si>
    <t>Cost of equity</t>
  </si>
  <si>
    <t>Cost of debt</t>
  </si>
  <si>
    <t>(-) Sales Taxes</t>
  </si>
  <si>
    <t>(-) Corporate Tax</t>
  </si>
  <si>
    <t>Equipment</t>
  </si>
  <si>
    <t>(-) People Costs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</si>
  <si>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</si>
  <si>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</si>
  <si>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</si>
  <si>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</si>
  <si>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</si>
  <si>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</si>
  <si>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</si>
  <si>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</si>
  <si>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</si>
  <si>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</si>
  <si>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</si>
  <si>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Biofilter</t>
  </si>
  <si>
    <t>Gas Exchange</t>
  </si>
  <si>
    <t>Ventilators</t>
  </si>
  <si>
    <t>Fish Tank</t>
  </si>
  <si>
    <t>Purging Tank "Off-Flavor"</t>
  </si>
  <si>
    <t>Fish-pump (or escalator)</t>
  </si>
  <si>
    <t>Aeration Pump</t>
  </si>
  <si>
    <t>Denitrification (USBR)</t>
  </si>
  <si>
    <t>Drum Filter</t>
  </si>
  <si>
    <t>Sump</t>
  </si>
  <si>
    <t>UV-sterilization</t>
  </si>
  <si>
    <t>Oxygen enrichment</t>
  </si>
  <si>
    <t>Ozone enrighment</t>
  </si>
  <si>
    <t>Automatic Feeder</t>
  </si>
  <si>
    <t>Heat Exchanger</t>
  </si>
  <si>
    <t>Lighting</t>
  </si>
  <si>
    <t>TAN sensor</t>
  </si>
  <si>
    <t>DO sensor</t>
  </si>
  <si>
    <t>EC sensor</t>
  </si>
  <si>
    <t>Thermometer</t>
  </si>
  <si>
    <t>pH sensor</t>
  </si>
  <si>
    <t>1/RAS enclosure</t>
  </si>
  <si>
    <t>1/fish tank</t>
  </si>
  <si>
    <t>De-humidifier</t>
  </si>
  <si>
    <t>Nutrient dosing unit</t>
  </si>
  <si>
    <t>Hanging or moving Gutter system</t>
  </si>
  <si>
    <t>Pollination vibrator</t>
  </si>
  <si>
    <t>UASB Mineralization Bioreactor</t>
  </si>
  <si>
    <t>EGSB Mineralization Bioreactor</t>
  </si>
  <si>
    <t>Gravity Separation (RFS)</t>
  </si>
  <si>
    <t>Desalinization/Distillation unit (RO)</t>
  </si>
  <si>
    <t>Emergency generator</t>
  </si>
  <si>
    <t>Hot and Cold Water tank</t>
  </si>
  <si>
    <t xml:space="preserve">IT Equipment </t>
  </si>
  <si>
    <t>Solar Panel space</t>
  </si>
  <si>
    <t>Unit</t>
  </si>
  <si>
    <t>Worked time</t>
  </si>
  <si>
    <t>General Manager</t>
  </si>
  <si>
    <t>No</t>
  </si>
  <si>
    <t>Sales Representative</t>
  </si>
  <si>
    <t xml:space="preserve">General Services Assistant </t>
  </si>
  <si>
    <t>Aquaponics Consultant</t>
  </si>
  <si>
    <t>Yes</t>
  </si>
  <si>
    <t>Maintenance</t>
  </si>
  <si>
    <t>Legal Consultant</t>
  </si>
  <si>
    <t>Tax Consultant</t>
  </si>
  <si>
    <t>IT maintenance</t>
  </si>
  <si>
    <t>Security Services</t>
  </si>
  <si>
    <t>Accountant</t>
  </si>
  <si>
    <t>Veterinary</t>
  </si>
  <si>
    <t>Laboratory Technitian</t>
  </si>
  <si>
    <t>Chemical Technitian</t>
  </si>
  <si>
    <t>Crop worker</t>
  </si>
  <si>
    <t>Aquaculture worker</t>
  </si>
  <si>
    <t>Operations</t>
  </si>
  <si>
    <t>binary</t>
  </si>
  <si>
    <t>Trout</t>
  </si>
  <si>
    <t>Qty</t>
  </si>
  <si>
    <t>Unit price</t>
  </si>
  <si>
    <t>size plants/m2</t>
  </si>
  <si>
    <t>max space</t>
  </si>
  <si>
    <t>months</t>
  </si>
  <si>
    <t>hours</t>
  </si>
  <si>
    <t>Environment</t>
  </si>
  <si>
    <t>Political</t>
  </si>
  <si>
    <t>Economic</t>
  </si>
  <si>
    <t>Social</t>
  </si>
  <si>
    <t>Technological</t>
  </si>
  <si>
    <t>Legal</t>
  </si>
  <si>
    <t>Environmental</t>
  </si>
  <si>
    <t>Market</t>
  </si>
  <si>
    <t>Channel &amp; Clients</t>
  </si>
  <si>
    <t>Price &amp; Promotion</t>
  </si>
  <si>
    <t>Differentiation</t>
  </si>
  <si>
    <t>Risk &amp; Substitutes</t>
  </si>
  <si>
    <t>Value Chain</t>
  </si>
  <si>
    <t>Firm Infrastructure</t>
  </si>
  <si>
    <t>Technology</t>
  </si>
  <si>
    <t>Procurement</t>
  </si>
  <si>
    <t>Internal Logistics</t>
  </si>
  <si>
    <t>External Logistics</t>
  </si>
  <si>
    <t>Sales &amp; Marketing</t>
  </si>
  <si>
    <t>Services</t>
  </si>
  <si>
    <t>Fish Younglings</t>
  </si>
  <si>
    <t>Controls</t>
  </si>
  <si>
    <t>Insects</t>
  </si>
  <si>
    <t>Revenue</t>
  </si>
  <si>
    <t>Recirculating Aquaculture System (RAS)</t>
  </si>
  <si>
    <t>System sinergies (Sludge, Nutrients, etc.)</t>
  </si>
  <si>
    <t>Hydroponics System</t>
  </si>
  <si>
    <t>Service Infrastructure</t>
  </si>
  <si>
    <t>Cash Flow</t>
  </si>
  <si>
    <t>years</t>
  </si>
  <si>
    <t>Fish &amp; Others</t>
  </si>
  <si>
    <t>Constraints</t>
  </si>
  <si>
    <t>Area</t>
  </si>
  <si>
    <t>Model</t>
  </si>
  <si>
    <t>FUNDING</t>
  </si>
  <si>
    <t>Equity</t>
  </si>
  <si>
    <t>Cost of Capital</t>
  </si>
  <si>
    <t>Years</t>
  </si>
  <si>
    <t>Debt</t>
  </si>
  <si>
    <t>Grace Period</t>
  </si>
  <si>
    <t>Term</t>
  </si>
  <si>
    <t>Principal</t>
  </si>
  <si>
    <t xml:space="preserve">Principal Repayment </t>
  </si>
  <si>
    <t>Total Payment</t>
  </si>
  <si>
    <t xml:space="preserve">Interest Payment </t>
  </si>
  <si>
    <t>Ending Balance</t>
  </si>
  <si>
    <t>INVESTMENTS</t>
  </si>
  <si>
    <t>Total Investment</t>
  </si>
  <si>
    <t>Spare Parts?</t>
  </si>
  <si>
    <t>RAS</t>
  </si>
  <si>
    <t>Hydroponics</t>
  </si>
  <si>
    <t>Greenhouse</t>
  </si>
  <si>
    <t>Spare parts</t>
  </si>
  <si>
    <t>Working Capital</t>
  </si>
  <si>
    <t>Human Resources Mgment</t>
  </si>
  <si>
    <t>Legend</t>
  </si>
  <si>
    <t>User Input</t>
  </si>
  <si>
    <t>Set Parameter</t>
  </si>
  <si>
    <t>Formula (do not change)</t>
  </si>
  <si>
    <t>Variables</t>
  </si>
  <si>
    <t>Output</t>
  </si>
  <si>
    <t>Constraint (user input)</t>
  </si>
  <si>
    <t>Debt repayment and interest schedule</t>
  </si>
  <si>
    <t>Period Beginning Balance</t>
  </si>
  <si>
    <t>Life Cycle 
(days/ organism)</t>
  </si>
  <si>
    <t>Full renew (changes/ year)</t>
  </si>
  <si>
    <t>Space yield (kg/m²)</t>
  </si>
  <si>
    <t>Tomato</t>
  </si>
  <si>
    <t>COSTS</t>
  </si>
  <si>
    <t># of organism</t>
  </si>
  <si>
    <t>Direct Labor</t>
  </si>
  <si>
    <t>m³</t>
  </si>
  <si>
    <t>Revenues</t>
  </si>
  <si>
    <t>Chosen Aquatic</t>
  </si>
  <si>
    <t>Chosen Greens</t>
  </si>
  <si>
    <t>Chosen</t>
  </si>
  <si>
    <t>Aquatic</t>
  </si>
  <si>
    <t>Parameters</t>
  </si>
  <si>
    <r>
      <t>Computation of feed conversion ratio (FCR</t>
    </r>
    <r>
      <rPr>
        <sz val="9"/>
        <color rgb="FF1F1F1F"/>
        <rFont val="Georgia"/>
        <family val="1"/>
      </rPr>
      <t>plant</t>
    </r>
    <r>
      <rPr>
        <sz val="12"/>
        <color rgb="FF1F1F1F"/>
        <rFont val="Georgia"/>
        <family val="1"/>
      </rPr>
      <t>) and plant-fish mass ratio (PFRM) for aquaponic systems</t>
    </r>
  </si>
  <si>
    <t>Plant-fish mass ratio (PFRM)(Kg/kg)</t>
  </si>
  <si>
    <r>
      <t xml:space="preserve">system produces </t>
    </r>
    <r>
      <rPr>
        <b/>
        <i/>
        <sz val="9"/>
        <color theme="1"/>
        <rFont val="Aptos Narrow"/>
        <family val="2"/>
        <scheme val="minor"/>
      </rPr>
      <t>3.1 kg of plants for every 1 kg of fish</t>
    </r>
    <r>
      <rPr>
        <i/>
        <sz val="9"/>
        <color theme="1"/>
        <rFont val="Aptos Narrow"/>
        <family val="2"/>
        <scheme val="minor"/>
      </rPr>
      <t xml:space="preserve"> harvested over the same measurement period</t>
    </r>
  </si>
  <si>
    <t>Total Area (m2)</t>
  </si>
  <si>
    <r>
      <t>UVI benchmark verification </t>
    </r>
    <r>
      <rPr>
        <sz val="4"/>
        <color rgb="FF184F95"/>
        <rFont val="Arial"/>
        <family val="2"/>
      </rPr>
      <t>Rakocy et al. 2006, SRAC 454</t>
    </r>
  </si>
  <si>
    <r>
      <t>Stocking density (Nile tilapia)</t>
    </r>
    <r>
      <rPr>
        <sz val="5"/>
        <color rgb="FF0B0B0B"/>
        <rFont val="Arial"/>
        <family val="2"/>
      </rPr>
      <t>77 fish/m³</t>
    </r>
  </si>
  <si>
    <r>
      <t>Harvest biomass density</t>
    </r>
    <r>
      <rPr>
        <sz val="5"/>
        <color rgb="FF0B0B0B"/>
        <rFont val="Arial"/>
        <family val="2"/>
      </rPr>
      <t>61.5 kg/m³/cycle</t>
    </r>
  </si>
  <si>
    <r>
      <t>Annual yield per m³</t>
    </r>
    <r>
      <rPr>
        <sz val="5"/>
        <color rgb="FF0B0B0B"/>
        <rFont val="Arial"/>
        <family val="2"/>
      </rPr>
      <t>~133 kg/m³/yr</t>
    </r>
  </si>
  <si>
    <r>
      <t>Your input (134 kg/m²)</t>
    </r>
    <r>
      <rPr>
        <sz val="5"/>
        <color rgb="FF0B0B0B"/>
        <rFont val="Arial"/>
        <family val="2"/>
      </rPr>
      <t>109.8 kg/m³ at 1.22 m</t>
    </r>
  </si>
  <si>
    <r>
      <t>Consistency with UVI</t>
    </r>
    <r>
      <rPr>
        <sz val="5"/>
        <color rgb="FF0B0B0B"/>
        <rFont val="Arial"/>
        <family val="2"/>
      </rPr>
      <t>Within 18% of UVI benchmark ⚠</t>
    </r>
  </si>
  <si>
    <t>Your stated yield of 134 kg/m² of footprint is highly consistent with the UVI empirical data when accounting for a 1.22 m water depth — a strong validation that your production assumptions are grounded in published results.</t>
  </si>
  <si>
    <t>Area RAS (m²)</t>
  </si>
  <si>
    <t>Volume RAS (m³)</t>
  </si>
  <si>
    <t>RAS Tanks</t>
  </si>
  <si>
    <t>Administration, Logistics and Service necessary area (%)</t>
  </si>
  <si>
    <t>Production Area (m2)</t>
  </si>
  <si>
    <t>Area Hydroponic (m²)</t>
  </si>
  <si>
    <t>Yearly Gross Production (kg)</t>
  </si>
  <si>
    <t>Average Plant loss</t>
  </si>
  <si>
    <t>Average Fish loss</t>
  </si>
  <si>
    <t>Price ($/kg)</t>
  </si>
  <si>
    <t>Yearly Revenue</t>
  </si>
  <si>
    <t>Service Revenue</t>
  </si>
  <si>
    <t>Not focus</t>
  </si>
  <si>
    <t>Average Yearly</t>
  </si>
  <si>
    <t>Productivity factor</t>
  </si>
  <si>
    <t>tanks</t>
  </si>
  <si>
    <t>Average tank volume (m³)</t>
  </si>
  <si>
    <t>Height tank (m)</t>
  </si>
  <si>
    <t>Life-Span (years)</t>
  </si>
  <si>
    <t>User Choice</t>
  </si>
  <si>
    <t>Year</t>
  </si>
  <si>
    <t>Necessary Initial Investment</t>
  </si>
  <si>
    <t>Sales Tax</t>
  </si>
  <si>
    <t>Corporate Tax</t>
  </si>
  <si>
    <t>(-) Investment (Equity on Y0)</t>
  </si>
  <si>
    <t>Area (m²)</t>
  </si>
  <si>
    <t>Area (m³)</t>
  </si>
  <si>
    <t>Yearly Standard Gross Production (kg)</t>
  </si>
  <si>
    <t>Year 2+</t>
  </si>
  <si>
    <t>Yearly</t>
  </si>
  <si>
    <t>Endeavor Location</t>
  </si>
  <si>
    <t>Temperature</t>
  </si>
  <si>
    <t>Temperature Adjustment</t>
  </si>
  <si>
    <t xml:space="preserve">Energy to heat </t>
  </si>
  <si>
    <t>kg of water</t>
  </si>
  <si>
    <t>Q=m⋅c⋅ΔT</t>
  </si>
  <si>
    <t>𝐽
/
(
𝑘
𝑔
⋅
𝐾
)</t>
  </si>
  <si>
    <t>Tank size (mass in kg)</t>
  </si>
  <si>
    <t>Water c (specific heat capacity)</t>
  </si>
  <si>
    <t>Energy to maintain</t>
  </si>
  <si>
    <t>P=U⋅A⋅ΔT</t>
  </si>
  <si>
    <t>U = overall heat transfer coefficient (W/m²·K)</t>
  </si>
  <si>
    <t>Poor insulation (~5W/m²K) to Good insulation (~0.5W/m²K)</t>
  </si>
  <si>
    <t>Biological load of stocking density</t>
  </si>
  <si>
    <t>https://www.sciencedirect.com/science/article/abs/pii/0300962989901461?</t>
  </si>
  <si>
    <t>Heat production of fish: A literature review</t>
  </si>
  <si>
    <r>
      <t>t is concluded that the heat production of standard metabolism at 20°C is 700J/hr/MW (MW = metabolic weight, kg</t>
    </r>
    <r>
      <rPr>
        <sz val="5"/>
        <color rgb="FF1F1F1F"/>
        <rFont val="Georgia"/>
        <family val="1"/>
      </rPr>
      <t>0.85</t>
    </r>
    <r>
      <rPr>
        <sz val="6"/>
        <color rgb="FF1F1F1F"/>
        <rFont val="Georgia"/>
        <family val="1"/>
      </rPr>
      <t>).</t>
    </r>
  </si>
  <si>
    <t>https://www.redalyc.org/articulo.oa?id=32751197045</t>
  </si>
  <si>
    <t>HEf=0.04643×W0.7882×T1.837</t>
  </si>
  <si>
    <t>Density (kg/m²)</t>
  </si>
  <si>
    <t>HEf=0.04643⋅W0.7882⋅T1.837</t>
  </si>
  <si>
    <t>HEf = heat production (kJ/day)</t>
  </si>
  <si>
    <t>kWh/month</t>
  </si>
  <si>
    <t>Heating</t>
  </si>
  <si>
    <t>Cooling</t>
  </si>
  <si>
    <t>Precipitation</t>
  </si>
  <si>
    <t>Water necessary</t>
  </si>
  <si>
    <t>ET</t>
  </si>
  <si>
    <t>Out (ET, purge, constrols, etc.)</t>
  </si>
  <si>
    <t>In (Precipitation, other)</t>
  </si>
  <si>
    <t>Precipitation (mm)</t>
  </si>
  <si>
    <t>Location</t>
  </si>
  <si>
    <t>Votuporanga</t>
  </si>
  <si>
    <t>Coordinates</t>
  </si>
  <si>
    <t>São Paulo, Brazil · -20.423°, -49.973°</t>
  </si>
  <si>
    <t>Data range: 2023-06 → 2026-06</t>
  </si>
  <si>
    <t>Source</t>
  </si>
  <si>
    <t>Open-Meteo ERA5 Historical Weather API</t>
  </si>
  <si>
    <t>Month</t>
  </si>
  <si>
    <t>Avg High (°C)</t>
  </si>
  <si>
    <t>Avg Mean (°C)</t>
  </si>
  <si>
    <t>Avg Low (°C)</t>
  </si>
  <si>
    <t>ET₀ (mm)</t>
  </si>
  <si>
    <t>Water Deficit (mm)</t>
  </si>
  <si>
    <t>May</t>
  </si>
  <si>
    <t>Annual</t>
  </si>
  <si>
    <t>—</t>
  </si>
  <si>
    <t>Minimum Temperature ( C)</t>
  </si>
  <si>
    <t>Maximum Temperature ( C)</t>
  </si>
  <si>
    <t>Bacteria, etc.</t>
  </si>
  <si>
    <t>Ideal Temperature ( C)</t>
  </si>
  <si>
    <t>Space occupied (organism /(m²/m³))</t>
  </si>
  <si>
    <t>Organism production(kg/organism)</t>
  </si>
  <si>
    <t>Ideal</t>
  </si>
  <si>
    <t>Biological heating</t>
  </si>
  <si>
    <t>Necessary adjustment</t>
  </si>
  <si>
    <t>Purge percentage (pH control, salts, etc.)</t>
  </si>
  <si>
    <t>Kc (Crop coefficient)</t>
  </si>
  <si>
    <r>
      <t>Open-water coefficient (Kp)</t>
    </r>
    <r>
      <rPr>
        <sz val="11"/>
        <color theme="1"/>
        <rFont val="Aptos Narrow"/>
        <family val="2"/>
        <scheme val="minor"/>
      </rPr>
      <t>:</t>
    </r>
  </si>
  <si>
    <t>Balance</t>
  </si>
  <si>
    <t>Save Precipitation</t>
  </si>
  <si>
    <t>1 - yes, 0 - no</t>
  </si>
  <si>
    <t>mm</t>
  </si>
  <si>
    <t>Temperature adjustment</t>
  </si>
  <si>
    <t>kWh/year</t>
  </si>
  <si>
    <t>mm/year</t>
  </si>
  <si>
    <t>Water need</t>
  </si>
  <si>
    <t>Conversion 𝑘𝑊h to 𝐽</t>
  </si>
  <si>
    <t>Sizing</t>
  </si>
  <si>
    <t>COP (if Chiller, etc)</t>
  </si>
  <si>
    <t>Feed based, O2 based or ignore?</t>
  </si>
  <si>
    <t>Bacteria, fish growth, system adjustment</t>
  </si>
  <si>
    <t>Net Salary</t>
  </si>
  <si>
    <t>$/month</t>
  </si>
  <si>
    <t>$/hour</t>
  </si>
  <si>
    <t>Energy ($/KWh)</t>
  </si>
  <si>
    <t>Substrate ($/organism)</t>
  </si>
  <si>
    <t>Younglings ($/organism)</t>
  </si>
  <si>
    <t>°C</t>
  </si>
  <si>
    <t>Mean Temp</t>
  </si>
  <si>
    <t xml:space="preserve">Water utility cost per country </t>
  </si>
  <si>
    <t>Tariffs dashboard | International Benchmarking Network</t>
  </si>
  <si>
    <t>Region</t>
  </si>
  <si>
    <t>Electricity Low (/kWh)</t>
  </si>
  <si>
    <t>ElectricityAvg(/kWh)</t>
  </si>
  <si>
    <t>Electricity High (/kWh)</t>
  </si>
  <si>
    <t>WaterLow(/m³)</t>
  </si>
  <si>
    <t>Water Avg (/m3)</t>
  </si>
  <si>
    <t>WaterHigh(/m³)</t>
  </si>
  <si>
    <t>Africa</t>
  </si>
  <si>
    <t>Asia</t>
  </si>
  <si>
    <t>North America</t>
  </si>
  <si>
    <t>South America</t>
  </si>
  <si>
    <t>Europe</t>
  </si>
  <si>
    <t>Oceania</t>
  </si>
  <si>
    <t>GlobalPetrolPrices.com</t>
  </si>
  <si>
    <t>IBNET/Global Water Intelligence 2012 tariff survey</t>
  </si>
  <si>
    <t>m3/year</t>
  </si>
  <si>
    <t>Water ($/m3)</t>
  </si>
  <si>
    <t>Space ocupied (organism /m³)</t>
  </si>
  <si>
    <t>Space ocupied (organism /m²)</t>
  </si>
  <si>
    <t>Chosen Region for the system</t>
  </si>
  <si>
    <t>Energy requirement Heating (kWh/year)</t>
  </si>
  <si>
    <t>Controls ($/m2)</t>
  </si>
  <si>
    <t>Logistics ($/organism)</t>
  </si>
  <si>
    <t>Packaging ($/organism)</t>
  </si>
  <si>
    <t>Services ($/endeavour)</t>
  </si>
  <si>
    <t>Operational people</t>
  </si>
  <si>
    <t>Oxygen ($/fish organism)</t>
  </si>
  <si>
    <t>Microbiota ($/fish tank)</t>
  </si>
  <si>
    <t>Carbon Source ($/fish tank)</t>
  </si>
  <si>
    <t>Pollinator ($/plant)</t>
  </si>
  <si>
    <t>Worms ($/fish tank)</t>
  </si>
  <si>
    <t>Nutrients ($/plant)</t>
  </si>
  <si>
    <t>Carbon Dioxide ($/plant)</t>
  </si>
  <si>
    <t>Insects ($/fish tank)</t>
  </si>
  <si>
    <t>Additional Water (m3/year)</t>
  </si>
  <si>
    <t>COGS (Costs of Goods Sold)</t>
  </si>
  <si>
    <t>Biologic Surface Area ($/fish tank)</t>
  </si>
  <si>
    <t>Waterfall</t>
  </si>
  <si>
    <t xml:space="preserve"> Sales Taxes</t>
  </si>
  <si>
    <t xml:space="preserve"> Cost of Goods Sold (COGS)</t>
  </si>
  <si>
    <t xml:space="preserve"> People Costs</t>
  </si>
  <si>
    <t xml:space="preserve"> Debt Interest</t>
  </si>
  <si>
    <t xml:space="preserve"> Corporate Tax</t>
  </si>
  <si>
    <t xml:space="preserve"> Investment </t>
  </si>
  <si>
    <t xml:space="preserve"> Project financing loan repayment </t>
  </si>
  <si>
    <t>System productivity Factor</t>
  </si>
  <si>
    <t>Yearly Interest Rate</t>
  </si>
  <si>
    <t>Maintenance Cost</t>
  </si>
  <si>
    <t>Total Interest Payment</t>
  </si>
  <si>
    <t>Periphyton Surface Area</t>
  </si>
  <si>
    <t>Biofloc</t>
  </si>
  <si>
    <t>Aerobic mineralization</t>
  </si>
  <si>
    <t>Biogas  (UASG, EGSB)</t>
  </si>
  <si>
    <t>What is the best combination of greens given my equity and available space?</t>
  </si>
  <si>
    <t>Chicória</t>
  </si>
  <si>
    <t>Almeirão Pão de Açúcar</t>
  </si>
  <si>
    <t>Almeirão Amargo</t>
  </si>
  <si>
    <t>Espinafre</t>
  </si>
  <si>
    <t>Alface</t>
  </si>
  <si>
    <t>Salsinha</t>
  </si>
  <si>
    <t>Manjericão</t>
  </si>
  <si>
    <t>Agrião</t>
  </si>
  <si>
    <t>Cebolinha</t>
  </si>
  <si>
    <t>Lactuca sativa</t>
  </si>
  <si>
    <t>Cichorium intybus</t>
  </si>
  <si>
    <t>Spinacia oleracea</t>
  </si>
  <si>
    <t>Ocimum basilicum</t>
  </si>
  <si>
    <t>Nasturtium officinale</t>
  </si>
  <si>
    <t>Petroselinum crispum</t>
  </si>
  <si>
    <t>Allium schoenoprasum</t>
  </si>
  <si>
    <t>Item</t>
  </si>
  <si>
    <t>Price per Kg</t>
  </si>
  <si>
    <t>Production per m²</t>
  </si>
  <si>
    <t>Used area</t>
  </si>
  <si>
    <t>Price per kg ($)</t>
  </si>
  <si>
    <t>&lt;=</t>
  </si>
  <si>
    <t>CHOICE in Kg</t>
  </si>
  <si>
    <t>Productivity Factor</t>
  </si>
  <si>
    <t>Activated Productivity?</t>
  </si>
  <si>
    <t>Is is worth investing in some of the productivity boosters?</t>
  </si>
  <si>
    <t>Which plant and fish combination is most adequate for my climate?</t>
  </si>
  <si>
    <t>(-) Water</t>
  </si>
  <si>
    <t>(-) Energy</t>
  </si>
  <si>
    <t>Water Costs</t>
  </si>
  <si>
    <t>Energy Costs</t>
  </si>
  <si>
    <t>Give these greens and fish, what size do I need to make the endeavour commercially viable?</t>
  </si>
  <si>
    <t>Property Rental</t>
  </si>
  <si>
    <t>Initial adjustments</t>
  </si>
  <si>
    <t>Adjusted value in time</t>
  </si>
  <si>
    <t>Accumulated value in time</t>
  </si>
  <si>
    <t>Discounted Payback</t>
  </si>
  <si>
    <t>First year sales ramp</t>
  </si>
  <si>
    <t>1/System unit</t>
  </si>
  <si>
    <t>Max hydroponics system unit size (m²)</t>
  </si>
  <si>
    <t>Hydroponics units</t>
  </si>
  <si>
    <t>1/Hydroponics m²</t>
  </si>
  <si>
    <t>Spare Parts Costs</t>
  </si>
  <si>
    <t>$/month/100m²</t>
  </si>
  <si>
    <t>workers</t>
  </si>
  <si>
    <t>Other equiment (kWh/year)</t>
  </si>
  <si>
    <t>Total Cost per year</t>
  </si>
  <si>
    <t>Solar Panels (kW/m² greenhouse)</t>
  </si>
  <si>
    <t>1/total area</t>
  </si>
  <si>
    <t>Biologic Surface Area (100 m³/10 m³ fish tank)</t>
  </si>
  <si>
    <t>1/Fish tank</t>
  </si>
  <si>
    <t>% of revenue</t>
  </si>
  <si>
    <t>$/m²/year</t>
  </si>
  <si>
    <t>W/m²</t>
  </si>
  <si>
    <t>Power (W)</t>
  </si>
  <si>
    <t>Energy consumption</t>
  </si>
  <si>
    <t>Estimativa de Consumo Elétrico (kWh/ano) — Fórmulas por Volume (RAS) e Área (Hidroponia)</t>
  </si>
  <si>
    <t>Parâmetros de Entrada (ajuste aqui)</t>
  </si>
  <si>
    <t>Volume total do RAS (m³)</t>
  </si>
  <si>
    <t>Área de Hidroponia (m²)</t>
  </si>
  <si>
    <t>Número de tanques de peixe</t>
  </si>
  <si>
    <t>Base de cálculo</t>
  </si>
  <si>
    <t>Densidade (W/unidade)</t>
  </si>
  <si>
    <t>Horas/dia</t>
  </si>
  <si>
    <t>Fórmula (kWh/ano)</t>
  </si>
  <si>
    <t>kWh/ano estimado</t>
  </si>
  <si>
    <t>Observação</t>
  </si>
  <si>
    <t>HIDROPONIA — escala por m²</t>
  </si>
  <si>
    <t>Iluminação (LED suplementar)</t>
  </si>
  <si>
    <t>80-120 (méd 100)</t>
  </si>
  <si>
    <t>100 x D5 x 12h x 365 / 1000</t>
  </si>
  <si>
    <t>Iluminação suplementar, ciclo 12h/dia</t>
  </si>
  <si>
    <t>Ventiladores (exaustão)</t>
  </si>
  <si>
    <t>5-10 (méd 7.5)</t>
  </si>
  <si>
    <t>7.5 x D5 x 12h x 365 / 1000</t>
  </si>
  <si>
    <t>Ciclado por termostato</t>
  </si>
  <si>
    <t>15-30 (méd 22.5)</t>
  </si>
  <si>
    <t>22.5 x D5 x 8h x 365 / 1000</t>
  </si>
  <si>
    <t>Uso intermitente conforme umidade</t>
  </si>
  <si>
    <t>Hanging/moving Gutter system</t>
  </si>
  <si>
    <t>2-4 (méd 3)</t>
  </si>
  <si>
    <t>3 x D5 x 24h x 365 / 1000</t>
  </si>
  <si>
    <t>Motor de movimentação intermitente</t>
  </si>
  <si>
    <t>Hydroponics Pump</t>
  </si>
  <si>
    <t>Recirculação contínua da solução nutritiva</t>
  </si>
  <si>
    <t>RAS — escala por m³ (volume de água)</t>
  </si>
  <si>
    <t>RAS Pump</t>
  </si>
  <si>
    <t>W/m³</t>
  </si>
  <si>
    <t>10-20 (méd 15)</t>
  </si>
  <si>
    <t>15 x D4 x 24h x 365 / 1000</t>
  </si>
  <si>
    <t>Recirculação contínua, baixa carga</t>
  </si>
  <si>
    <t>3-6 (méd 4.5)</t>
  </si>
  <si>
    <t>4.5 x D4 x 24h x 365 / 1000</t>
  </si>
  <si>
    <t>Degasagem contínua</t>
  </si>
  <si>
    <t>100 x D4 x 24h x 365 / 1000</t>
  </si>
  <si>
    <t>Gerador/concentrador de O₂, alto consumo</t>
  </si>
  <si>
    <t>Ozone enrichment</t>
  </si>
  <si>
    <t>10-15 (méd 12.5)</t>
  </si>
  <si>
    <t>12.5 x D4 x 12h x 365 / 1000</t>
  </si>
  <si>
    <t>Gerador de ozônio, ciclado</t>
  </si>
  <si>
    <t>Heat Exchanger (elétrico)</t>
  </si>
  <si>
    <t>150-250 (méd 200)</t>
  </si>
  <si>
    <t>200 x D4 x 4h x 365 / 1000</t>
  </si>
  <si>
    <t>Ciclo termostático equivalente</t>
  </si>
  <si>
    <t>15-25 (méd 20)</t>
  </si>
  <si>
    <t>20 x D4 x 24h x 365 / 1000</t>
  </si>
  <si>
    <t>Proporcional à vazão tratada</t>
  </si>
  <si>
    <t>USBR (denitrificação)</t>
  </si>
  <si>
    <t>3-5 (méd 4)</t>
  </si>
  <si>
    <t>4 x D4 x 24h x 365 / 1000</t>
  </si>
  <si>
    <t>Pequena bomba de alimentação do reator</t>
  </si>
  <si>
    <t>W/m³ (equiv.)</t>
  </si>
  <si>
    <t>3 x D4 x 2h x 365 / 1000</t>
  </si>
  <si>
    <t>Motor potente, duty cycle baixo (~10%)</t>
  </si>
  <si>
    <t>30-50 (méd 40)</t>
  </si>
  <si>
    <t>40 x D4 x 24h x 365 / 1000</t>
  </si>
  <si>
    <t>Aeração/mistura contínua</t>
  </si>
  <si>
    <t>UASB Mineralization</t>
  </si>
  <si>
    <t>2-3 (méd 2.5)</t>
  </si>
  <si>
    <t>2.5 x D4 x 24h x 365 / 1000</t>
  </si>
  <si>
    <t>Fluxo ascendente passivo + bomba pequena</t>
  </si>
  <si>
    <t>EGSB Mineralization</t>
  </si>
  <si>
    <t>8-12 (méd 10)</t>
  </si>
  <si>
    <t>10 x D4 x 24h x 365 / 1000</t>
  </si>
  <si>
    <t>Recirculação p/ velocidade ascensional alta</t>
  </si>
  <si>
    <t>1-2 (méd 1.5)</t>
  </si>
  <si>
    <t>1.5 x D4 x 2h x 365 / 1000</t>
  </si>
  <si>
    <t>Quase todo passivo, bomba de purga do lodo</t>
  </si>
  <si>
    <t>Biofloc (aeração/mistura)</t>
  </si>
  <si>
    <t>Requer aeração/mistura contínua</t>
  </si>
  <si>
    <t>Desalinização/RO</t>
  </si>
  <si>
    <t>300-500 (méd 400)</t>
  </si>
  <si>
    <t>400 x D4 x 4h x 365 / 1000</t>
  </si>
  <si>
    <t>Alta potência, uso limitado a poucas horas</t>
  </si>
  <si>
    <t>100-150 (méd 125)</t>
  </si>
  <si>
    <t>125 x D4 x 4h x 365 / 1000</t>
  </si>
  <si>
    <t>POR TANQUE — escala por número de tanques</t>
  </si>
  <si>
    <t>W/tanque</t>
  </si>
  <si>
    <t>2-2 (méd 2)</t>
  </si>
  <si>
    <t>2 x D6 x 24h x 365 / 1000</t>
  </si>
  <si>
    <t>Eletrônica de monitoramento contínuo</t>
  </si>
  <si>
    <t>40 x D6 x 24h x 365 / 1000</t>
  </si>
  <si>
    <t>Aeração do tanque de peixe, contínua</t>
  </si>
  <si>
    <t>3-3 (méd 3)</t>
  </si>
  <si>
    <t>3 x D6 x 24h x 365 / 1000</t>
  </si>
  <si>
    <t>Sonda contínua</t>
  </si>
  <si>
    <t>4.5 x D6 x 24h x 365 / 1000</t>
  </si>
  <si>
    <t>Controlador em standby + ciclos curtos</t>
  </si>
  <si>
    <t>Fish-pump / escalator</t>
  </si>
  <si>
    <t>400-600 (méd 500)</t>
  </si>
  <si>
    <t>500 x D6 x 0.1h x 365 / 1000</t>
  </si>
  <si>
    <t>Uso pontual (despesca, ~6 min/dia)</t>
  </si>
  <si>
    <t>TOTAL ESTIMADO (kWh/ano)</t>
  </si>
  <si>
    <t>Notas: (1) Cada linha usa densidade média (W/unidade) x variável de escala (m³, m² ou nº tanques) x horas/dia x 365 / 1000. (2) Itens sem coluna de 'W/unidade' porque a fórmula usa a densidade média direto na coluna E/F — ajuste os inputs em D4:D6 para recalcular tudo automaticamente. (3) Itens puramente passivos (RAS enclosure, Sump, Fish Tank, Biofilter estrutural, Greenhouse, Biologic/Periphyton Surface Area, Solar Panels, Emergency generator) não estão nesta tabela pois não consomem eletricidade de rede continuamente.</t>
  </si>
  <si>
    <t>Equipment Energy consumtpion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</si>
</sst>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164" formatCode="_-[$$-409]* #,##0_ ;_-[$$-409]* \-#,##0\ ;_-[$$-409]* &quot;-&quot;??_ ;_-@_ "/>
    <numFmt numFmtId="165" formatCode="_-&quot;R$&quot;* #,##0_-;\-&quot;R$&quot;* #,##0_-;_-&quot;R$&quot;* &quot;-&quot;??_-;_-@_-"/>
    <numFmt numFmtId="166" formatCode="_-[$R$-416]* #,##0_-;\-[$R$-416]* #,##0_-;_-[$R$-416]* &quot;-&quot;??_-;_-@_-"/>
    <numFmt numFmtId="167" formatCode="_-&quot;R$&quot;* #,##0.00_-;\-&quot;R$&quot;* #,##0.00_-;_-&quot;R$&quot;* &quot;-&quot;??_-;_-@_-"/>
    <numFmt numFmtId="168" formatCode="0.0"/>
    <numFmt numFmtId="169" formatCode="0.0%"/>
    <numFmt numFmtId="170" formatCode="_-[$$-409]* #,##0.00_ ;_-[$$-409]* \-#,##0.00\ ;_-[$$-409]* &quot;-&quot;??_ ;_-@_ "/>
    <numFmt numFmtId="171" formatCode="#,##0.0"/>
    <numFmt numFmtId="172" formatCode="_-[$R$-416]* #,##0.00_-;\-[$R$-416]* #,##0.00_-;_-[$R$-416]* &quot;-&quot;??_-;_-@_-"/>
    <numFmt numFmtId="173" formatCode="_-&quot;R$&quot;* #,##0.000_-;\-&quot;R$&quot;* #,##0.000_-;_-&quot;R$&quot;* &quot;-&quot;??_-;_-@_-"/>
    <numFmt numFmtId="174" formatCode="[$$-409]#,##0"/>
    <numFmt numFmtId="175" formatCode="0.000"/>
    <numFmt numFmtId="176" formatCode="mmm"/>
  </numFmts>
  <fonts count="6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22222"/>
      <name val="Segoe U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12"/>
      <color rgb="FF1F1F1F"/>
      <name val="Georgia"/>
      <family val="1"/>
    </font>
    <font>
      <sz val="9"/>
      <color rgb="FF1F1F1F"/>
      <name val="Georgia"/>
      <family val="1"/>
    </font>
    <font>
      <b/>
      <i/>
      <sz val="9"/>
      <color theme="1"/>
      <name val="Aptos Narrow"/>
      <family val="2"/>
      <scheme val="minor"/>
    </font>
    <font>
      <sz val="5"/>
      <color rgb="FF898781"/>
      <name val="Arial"/>
      <family val="2"/>
    </font>
    <font>
      <sz val="4"/>
      <color rgb="FF184F95"/>
      <name val="Arial"/>
      <family val="2"/>
    </font>
    <font>
      <sz val="5"/>
      <color rgb="FF52514E"/>
      <name val="Arial"/>
      <family val="2"/>
    </font>
    <font>
      <sz val="5"/>
      <color rgb="FF0B0B0B"/>
      <name val="Arial"/>
      <family val="2"/>
    </font>
    <font>
      <sz val="20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6"/>
      <color rgb="FF1F1F1F"/>
      <name val="Georgia"/>
      <family val="1"/>
    </font>
    <font>
      <sz val="5"/>
      <color rgb="FF1F1F1F"/>
      <name val="Georgia"/>
      <family val="1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8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4"/>
      <color rgb="FF000000"/>
      <name val="Arial Nova Light"/>
      <family val="2"/>
    </font>
    <font>
      <sz val="11"/>
      <color theme="1"/>
      <name val="Arial Nova Light"/>
      <family val="2"/>
    </font>
    <font>
      <b/>
      <sz val="11"/>
      <color theme="1"/>
      <name val="Arial Nova Light"/>
      <family val="2"/>
    </font>
    <font>
      <sz val="12"/>
      <color theme="1"/>
      <name val="Arial Nova Light"/>
      <family val="2"/>
    </font>
    <font>
      <b/>
      <sz val="12"/>
      <color theme="1"/>
      <name val="Arial Nova Light"/>
      <family val="2"/>
    </font>
    <font>
      <b/>
      <sz val="14"/>
      <color theme="1"/>
      <name val="Arial Nova Light"/>
      <family val="2"/>
    </font>
    <font>
      <b/>
      <sz val="26"/>
      <color theme="0"/>
      <name val="Aptos Narrow"/>
      <family val="2"/>
      <scheme val="minor"/>
    </font>
    <font>
      <b/>
      <sz val="13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E7D32"/>
        <bgColor rgb="FF2E7D32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FFF3CD"/>
        <bgColor rgb="FFFFF3CD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5" fillId="0" borderId="0"/>
    <xf numFmtId="0" fontId="45" fillId="0" borderId="0" applyNumberFormat="0" applyFill="0" applyBorder="0" applyAlignment="0" applyProtection="0"/>
  </cellStyleXfs>
  <cellXfs count="30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9" fontId="0" fillId="0" borderId="0" xfId="0" applyNumberFormat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6" fillId="0" borderId="0" xfId="0" applyFont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/>
    <xf numFmtId="164" fontId="0" fillId="0" borderId="0" xfId="0" applyNumberFormat="1"/>
    <xf numFmtId="0" fontId="4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readingOrder="1"/>
    </xf>
    <xf numFmtId="0" fontId="11" fillId="0" borderId="0" xfId="0" applyFont="1"/>
    <xf numFmtId="0" fontId="0" fillId="0" borderId="9" xfId="0" applyBorder="1"/>
    <xf numFmtId="0" fontId="0" fillId="10" borderId="0" xfId="0" applyFill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6" fillId="0" borderId="3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21" fillId="0" borderId="0" xfId="0" applyFont="1" applyAlignment="1">
      <alignment wrapText="1"/>
    </xf>
    <xf numFmtId="0" fontId="21" fillId="0" borderId="8" xfId="0" applyFont="1" applyBorder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7" xfId="0" applyFont="1" applyBorder="1" applyAlignment="1">
      <alignment wrapText="1"/>
    </xf>
    <xf numFmtId="0" fontId="16" fillId="0" borderId="7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21" fillId="12" borderId="5" xfId="0" applyFont="1" applyFill="1" applyBorder="1" applyAlignment="1">
      <alignment wrapText="1"/>
    </xf>
    <xf numFmtId="0" fontId="21" fillId="12" borderId="0" xfId="0" applyFont="1" applyFill="1" applyAlignment="1">
      <alignment horizontal="center" wrapText="1"/>
    </xf>
    <xf numFmtId="0" fontId="21" fillId="12" borderId="0" xfId="0" applyFont="1" applyFill="1" applyAlignment="1">
      <alignment wrapText="1"/>
    </xf>
    <xf numFmtId="0" fontId="0" fillId="12" borderId="0" xfId="0" applyFill="1" applyAlignment="1">
      <alignment wrapText="1"/>
    </xf>
    <xf numFmtId="0" fontId="16" fillId="12" borderId="7" xfId="0" applyFont="1" applyFill="1" applyBorder="1" applyAlignment="1">
      <alignment horizontal="center" wrapText="1"/>
    </xf>
    <xf numFmtId="0" fontId="16" fillId="12" borderId="7" xfId="0" applyFont="1" applyFill="1" applyBorder="1" applyAlignment="1">
      <alignment wrapText="1"/>
    </xf>
    <xf numFmtId="0" fontId="16" fillId="12" borderId="9" xfId="0" applyFont="1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7" xfId="0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wrapText="1"/>
    </xf>
    <xf numFmtId="0" fontId="20" fillId="12" borderId="6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wrapText="1"/>
    </xf>
    <xf numFmtId="0" fontId="21" fillId="12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12" borderId="12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13" borderId="0" xfId="0" applyFont="1" applyFill="1"/>
    <xf numFmtId="0" fontId="0" fillId="13" borderId="0" xfId="0" applyFill="1"/>
    <xf numFmtId="166" fontId="0" fillId="0" borderId="0" xfId="0" applyNumberForma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9" fillId="10" borderId="0" xfId="0" applyFont="1" applyFill="1"/>
    <xf numFmtId="165" fontId="12" fillId="0" borderId="0" xfId="1" applyNumberFormat="1" applyFont="1"/>
    <xf numFmtId="0" fontId="12" fillId="0" borderId="0" xfId="0" applyFont="1"/>
    <xf numFmtId="0" fontId="13" fillId="0" borderId="0" xfId="0" applyFont="1"/>
    <xf numFmtId="0" fontId="0" fillId="14" borderId="0" xfId="0" applyFill="1"/>
    <xf numFmtId="0" fontId="28" fillId="0" borderId="0" xfId="0" applyFont="1"/>
    <xf numFmtId="0" fontId="29" fillId="5" borderId="0" xfId="0" applyFont="1" applyFill="1"/>
    <xf numFmtId="10" fontId="29" fillId="5" borderId="0" xfId="2" applyNumberFormat="1" applyFont="1" applyFill="1" applyBorder="1" applyAlignment="1">
      <alignment horizontal="center"/>
    </xf>
    <xf numFmtId="10" fontId="29" fillId="5" borderId="8" xfId="2" applyNumberFormat="1" applyFont="1" applyFill="1" applyBorder="1" applyAlignment="1">
      <alignment horizontal="center"/>
    </xf>
    <xf numFmtId="10" fontId="1" fillId="15" borderId="11" xfId="0" applyNumberFormat="1" applyFont="1" applyFill="1" applyBorder="1" applyAlignment="1">
      <alignment horizontal="center"/>
    </xf>
    <xf numFmtId="169" fontId="29" fillId="5" borderId="0" xfId="2" applyNumberFormat="1" applyFont="1" applyFill="1" applyBorder="1" applyAlignment="1">
      <alignment horizontal="center"/>
    </xf>
    <xf numFmtId="9" fontId="29" fillId="5" borderId="0" xfId="2" applyFont="1" applyFill="1" applyBorder="1" applyAlignment="1">
      <alignment horizontal="center"/>
    </xf>
    <xf numFmtId="164" fontId="29" fillId="5" borderId="0" xfId="2" applyNumberFormat="1" applyFont="1" applyFill="1" applyBorder="1" applyAlignment="1">
      <alignment horizontal="center"/>
    </xf>
    <xf numFmtId="0" fontId="1" fillId="15" borderId="0" xfId="0" applyFont="1" applyFill="1"/>
    <xf numFmtId="164" fontId="1" fillId="15" borderId="0" xfId="2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 vertical="top"/>
    </xf>
    <xf numFmtId="0" fontId="0" fillId="0" borderId="20" xfId="0" applyBorder="1"/>
    <xf numFmtId="0" fontId="0" fillId="0" borderId="12" xfId="0" applyBorder="1" applyAlignment="1">
      <alignment horizontal="center"/>
    </xf>
    <xf numFmtId="10" fontId="4" fillId="0" borderId="21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9" fillId="0" borderId="0" xfId="0" applyFont="1" applyAlignment="1">
      <alignment horizontal="right"/>
    </xf>
    <xf numFmtId="3" fontId="16" fillId="10" borderId="10" xfId="0" applyNumberFormat="1" applyFont="1" applyFill="1" applyBorder="1" applyAlignment="1">
      <alignment horizontal="center" vertical="center" wrapText="1"/>
    </xf>
    <xf numFmtId="3" fontId="23" fillId="10" borderId="10" xfId="0" applyNumberFormat="1" applyFont="1" applyFill="1" applyBorder="1" applyAlignment="1">
      <alignment horizontal="center" vertical="center" wrapText="1"/>
    </xf>
    <xf numFmtId="0" fontId="16" fillId="4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9" fillId="4" borderId="0" xfId="0" applyFont="1" applyFill="1"/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0" fillId="4" borderId="0" xfId="0" applyNumberFormat="1" applyFill="1" applyAlignment="1">
      <alignment horizontal="center"/>
    </xf>
    <xf numFmtId="3" fontId="29" fillId="5" borderId="0" xfId="2" applyNumberFormat="1" applyFont="1" applyFill="1" applyBorder="1" applyAlignment="1">
      <alignment horizontal="center"/>
    </xf>
    <xf numFmtId="0" fontId="0" fillId="16" borderId="0" xfId="0" applyFill="1"/>
    <xf numFmtId="0" fontId="1" fillId="0" borderId="25" xfId="0" applyFont="1" applyBorder="1"/>
    <xf numFmtId="0" fontId="4" fillId="0" borderId="25" xfId="0" applyFont="1" applyBorder="1" applyAlignment="1">
      <alignment horizontal="center"/>
    </xf>
    <xf numFmtId="0" fontId="33" fillId="0" borderId="0" xfId="0" applyFont="1" applyAlignment="1">
      <alignment vertical="center"/>
    </xf>
    <xf numFmtId="171" fontId="0" fillId="0" borderId="0" xfId="0" applyNumberFormat="1"/>
    <xf numFmtId="4" fontId="29" fillId="5" borderId="0" xfId="2" applyNumberFormat="1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9" fontId="4" fillId="0" borderId="0" xfId="0" applyNumberFormat="1" applyFont="1" applyAlignment="1">
      <alignment horizontal="center"/>
    </xf>
    <xf numFmtId="3" fontId="1" fillId="15" borderId="0" xfId="2" applyNumberFormat="1" applyFont="1" applyFill="1" applyBorder="1" applyAlignment="1">
      <alignment horizontal="center"/>
    </xf>
    <xf numFmtId="170" fontId="4" fillId="0" borderId="0" xfId="3" applyNumberFormat="1" applyFont="1" applyBorder="1"/>
    <xf numFmtId="170" fontId="29" fillId="5" borderId="0" xfId="1" applyNumberFormat="1" applyFont="1" applyFill="1" applyBorder="1" applyAlignment="1">
      <alignment horizontal="center"/>
    </xf>
    <xf numFmtId="170" fontId="0" fillId="0" borderId="0" xfId="1" applyNumberFormat="1" applyFont="1"/>
    <xf numFmtId="0" fontId="25" fillId="0" borderId="25" xfId="0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170" fontId="4" fillId="0" borderId="25" xfId="0" applyNumberFormat="1" applyFont="1" applyBorder="1" applyAlignment="1">
      <alignment horizontal="center"/>
    </xf>
    <xf numFmtId="164" fontId="1" fillId="15" borderId="0" xfId="2" applyNumberFormat="1" applyFont="1" applyFill="1" applyBorder="1" applyAlignment="1">
      <alignment horizontal="center" vertical="center"/>
    </xf>
    <xf numFmtId="164" fontId="29" fillId="5" borderId="0" xfId="1" applyNumberFormat="1" applyFont="1" applyFill="1" applyBorder="1" applyAlignment="1">
      <alignment horizontal="center"/>
    </xf>
    <xf numFmtId="164" fontId="0" fillId="0" borderId="0" xfId="1" applyNumberFormat="1" applyFont="1"/>
    <xf numFmtId="164" fontId="4" fillId="0" borderId="0" xfId="1" applyNumberFormat="1" applyFont="1" applyFill="1" applyBorder="1" applyAlignment="1">
      <alignment horizontal="center"/>
    </xf>
    <xf numFmtId="3" fontId="21" fillId="8" borderId="0" xfId="0" applyNumberFormat="1" applyFont="1" applyFill="1" applyAlignment="1">
      <alignment wrapText="1"/>
    </xf>
    <xf numFmtId="3" fontId="21" fillId="12" borderId="0" xfId="0" applyNumberFormat="1" applyFont="1" applyFill="1" applyAlignment="1">
      <alignment wrapText="1"/>
    </xf>
    <xf numFmtId="3" fontId="21" fillId="8" borderId="0" xfId="0" applyNumberFormat="1" applyFont="1" applyFill="1" applyAlignment="1">
      <alignment horizontal="center" wrapText="1"/>
    </xf>
    <xf numFmtId="3" fontId="21" fillId="8" borderId="12" xfId="0" applyNumberFormat="1" applyFont="1" applyFill="1" applyBorder="1" applyAlignment="1">
      <alignment horizontal="center" wrapText="1"/>
    </xf>
    <xf numFmtId="3" fontId="13" fillId="8" borderId="11" xfId="0" applyNumberFormat="1" applyFont="1" applyFill="1" applyBorder="1" applyAlignment="1">
      <alignment horizontal="center" wrapText="1"/>
    </xf>
    <xf numFmtId="3" fontId="0" fillId="0" borderId="5" xfId="0" applyNumberFormat="1" applyBorder="1" applyAlignment="1">
      <alignment horizontal="center" wrapText="1"/>
    </xf>
    <xf numFmtId="3" fontId="0" fillId="0" borderId="6" xfId="0" applyNumberFormat="1" applyBorder="1" applyAlignment="1">
      <alignment horizontal="center" wrapText="1"/>
    </xf>
    <xf numFmtId="3" fontId="0" fillId="0" borderId="12" xfId="0" applyNumberFormat="1" applyBorder="1" applyAlignment="1">
      <alignment horizontal="center" wrapText="1"/>
    </xf>
    <xf numFmtId="3" fontId="0" fillId="0" borderId="8" xfId="0" applyNumberFormat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5" fillId="0" borderId="8" xfId="0" applyNumberFormat="1" applyFont="1" applyBorder="1" applyAlignment="1">
      <alignment horizontal="center" wrapText="1"/>
    </xf>
    <xf numFmtId="3" fontId="0" fillId="0" borderId="7" xfId="0" applyNumberFormat="1" applyBorder="1" applyAlignment="1">
      <alignment horizontal="center" wrapText="1"/>
    </xf>
    <xf numFmtId="3" fontId="16" fillId="0" borderId="0" xfId="0" applyNumberFormat="1" applyFont="1" applyAlignment="1">
      <alignment horizontal="center" wrapText="1"/>
    </xf>
    <xf numFmtId="3" fontId="16" fillId="0" borderId="8" xfId="0" applyNumberFormat="1" applyFont="1" applyBorder="1" applyAlignment="1">
      <alignment horizontal="center" wrapText="1"/>
    </xf>
    <xf numFmtId="3" fontId="16" fillId="0" borderId="12" xfId="0" applyNumberFormat="1" applyFont="1" applyBorder="1" applyAlignment="1">
      <alignment horizontal="center" wrapText="1"/>
    </xf>
    <xf numFmtId="3" fontId="0" fillId="0" borderId="0" xfId="0" applyNumberFormat="1" applyAlignment="1">
      <alignment wrapText="1"/>
    </xf>
    <xf numFmtId="3" fontId="17" fillId="9" borderId="0" xfId="0" applyNumberFormat="1" applyFont="1" applyFill="1" applyAlignment="1">
      <alignment horizontal="center" wrapText="1"/>
    </xf>
    <xf numFmtId="3" fontId="20" fillId="0" borderId="8" xfId="0" applyNumberFormat="1" applyFont="1" applyBorder="1" applyAlignment="1">
      <alignment horizontal="center" wrapText="1"/>
    </xf>
    <xf numFmtId="3" fontId="17" fillId="9" borderId="12" xfId="0" applyNumberFormat="1" applyFont="1" applyFill="1" applyBorder="1" applyAlignment="1">
      <alignment horizontal="center" wrapText="1"/>
    </xf>
    <xf numFmtId="3" fontId="15" fillId="9" borderId="8" xfId="0" applyNumberFormat="1" applyFont="1" applyFill="1" applyBorder="1" applyAlignment="1">
      <alignment horizontal="center" wrapText="1"/>
    </xf>
    <xf numFmtId="3" fontId="0" fillId="0" borderId="8" xfId="0" applyNumberFormat="1" applyBorder="1" applyAlignment="1">
      <alignment wrapText="1"/>
    </xf>
    <xf numFmtId="3" fontId="16" fillId="0" borderId="9" xfId="0" applyNumberFormat="1" applyFont="1" applyBorder="1" applyAlignment="1">
      <alignment horizontal="center" wrapText="1"/>
    </xf>
    <xf numFmtId="3" fontId="0" fillId="0" borderId="9" xfId="0" applyNumberFormat="1" applyBorder="1" applyAlignment="1">
      <alignment horizontal="center" wrapText="1"/>
    </xf>
    <xf numFmtId="3" fontId="16" fillId="0" borderId="10" xfId="0" applyNumberFormat="1" applyFont="1" applyBorder="1" applyAlignment="1">
      <alignment horizontal="center" wrapText="1"/>
    </xf>
    <xf numFmtId="3" fontId="17" fillId="9" borderId="10" xfId="0" applyNumberFormat="1" applyFont="1" applyFill="1" applyBorder="1" applyAlignment="1">
      <alignment horizontal="center" wrapText="1"/>
    </xf>
    <xf numFmtId="3" fontId="17" fillId="9" borderId="11" xfId="0" applyNumberFormat="1" applyFont="1" applyFill="1" applyBorder="1" applyAlignment="1">
      <alignment horizontal="center" wrapText="1"/>
    </xf>
    <xf numFmtId="3" fontId="16" fillId="0" borderId="13" xfId="0" applyNumberFormat="1" applyFont="1" applyBorder="1" applyAlignment="1">
      <alignment horizontal="center" wrapText="1"/>
    </xf>
    <xf numFmtId="3" fontId="0" fillId="0" borderId="11" xfId="0" applyNumberFormat="1" applyBorder="1" applyAlignment="1">
      <alignment horizontal="center" wrapText="1"/>
    </xf>
    <xf numFmtId="3" fontId="0" fillId="0" borderId="11" xfId="0" applyNumberFormat="1" applyBorder="1" applyAlignment="1">
      <alignment wrapText="1"/>
    </xf>
    <xf numFmtId="3" fontId="16" fillId="4" borderId="0" xfId="0" applyNumberFormat="1" applyFont="1" applyFill="1" applyAlignment="1">
      <alignment horizontal="center" wrapText="1"/>
    </xf>
    <xf numFmtId="3" fontId="0" fillId="4" borderId="0" xfId="0" applyNumberFormat="1" applyFill="1" applyAlignment="1">
      <alignment horizontal="center" wrapText="1"/>
    </xf>
    <xf numFmtId="3" fontId="16" fillId="4" borderId="12" xfId="0" applyNumberFormat="1" applyFont="1" applyFill="1" applyBorder="1" applyAlignment="1">
      <alignment horizontal="center" wrapText="1"/>
    </xf>
    <xf numFmtId="3" fontId="16" fillId="4" borderId="0" xfId="0" applyNumberFormat="1" applyFont="1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3" fontId="20" fillId="4" borderId="8" xfId="0" applyNumberFormat="1" applyFont="1" applyFill="1" applyBorder="1" applyAlignment="1">
      <alignment horizontal="center" wrapText="1"/>
    </xf>
    <xf numFmtId="3" fontId="0" fillId="0" borderId="8" xfId="0" applyNumberFormat="1" applyBorder="1" applyAlignment="1">
      <alignment horizontal="center" vertical="center" wrapText="1"/>
    </xf>
    <xf numFmtId="3" fontId="40" fillId="11" borderId="8" xfId="0" applyNumberFormat="1" applyFont="1" applyFill="1" applyBorder="1" applyAlignment="1">
      <alignment horizontal="center" wrapText="1"/>
    </xf>
    <xf numFmtId="0" fontId="0" fillId="0" borderId="0" xfId="0" applyAlignment="1">
      <alignment horizontal="left" inden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left" indent="1"/>
    </xf>
    <xf numFmtId="0" fontId="27" fillId="0" borderId="0" xfId="0" applyFont="1" applyAlignment="1">
      <alignment horizontal="right"/>
    </xf>
    <xf numFmtId="0" fontId="1" fillId="5" borderId="0" xfId="0" applyFont="1" applyFill="1" applyAlignment="1">
      <alignment horizontal="center"/>
    </xf>
    <xf numFmtId="1" fontId="26" fillId="5" borderId="0" xfId="0" applyNumberFormat="1" applyFont="1" applyFill="1" applyAlignment="1">
      <alignment horizontal="center"/>
    </xf>
    <xf numFmtId="1" fontId="2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9" fontId="4" fillId="0" borderId="0" xfId="2" applyFont="1" applyAlignment="1">
      <alignment horizontal="center"/>
    </xf>
    <xf numFmtId="164" fontId="41" fillId="5" borderId="0" xfId="2" applyNumberFormat="1" applyFont="1" applyFill="1" applyBorder="1" applyAlignment="1">
      <alignment horizontal="center"/>
    </xf>
    <xf numFmtId="174" fontId="0" fillId="0" borderId="0" xfId="0" applyNumberFormat="1"/>
    <xf numFmtId="174" fontId="0" fillId="0" borderId="0" xfId="0" applyNumberFormat="1" applyAlignment="1">
      <alignment horizontal="center"/>
    </xf>
    <xf numFmtId="0" fontId="42" fillId="0" borderId="0" xfId="0" applyFont="1"/>
    <xf numFmtId="0" fontId="43" fillId="0" borderId="0" xfId="0" applyFont="1"/>
    <xf numFmtId="0" fontId="0" fillId="0" borderId="0" xfId="0" applyAlignment="1">
      <alignment horizontal="left" vertical="center" indent="1"/>
    </xf>
    <xf numFmtId="175" fontId="0" fillId="0" borderId="0" xfId="0" applyNumberFormat="1"/>
    <xf numFmtId="0" fontId="5" fillId="0" borderId="0" xfId="4"/>
    <xf numFmtId="3" fontId="29" fillId="5" borderId="26" xfId="2" applyNumberFormat="1" applyFont="1" applyFill="1" applyBorder="1" applyAlignment="1">
      <alignment horizontal="center"/>
    </xf>
    <xf numFmtId="171" fontId="29" fillId="5" borderId="26" xfId="2" applyNumberFormat="1" applyFont="1" applyFill="1" applyBorder="1" applyAlignment="1">
      <alignment horizontal="center"/>
    </xf>
    <xf numFmtId="3" fontId="29" fillId="5" borderId="0" xfId="2" applyNumberFormat="1" applyFont="1" applyFill="1" applyBorder="1" applyAlignment="1">
      <alignment horizontal="right"/>
    </xf>
    <xf numFmtId="171" fontId="41" fillId="5" borderId="26" xfId="2" applyNumberFormat="1" applyFont="1" applyFill="1" applyBorder="1" applyAlignment="1">
      <alignment horizontal="center"/>
    </xf>
    <xf numFmtId="0" fontId="46" fillId="0" borderId="0" xfId="0" applyFont="1"/>
    <xf numFmtId="1" fontId="0" fillId="14" borderId="0" xfId="0" applyNumberFormat="1" applyFill="1" applyAlignment="1">
      <alignment horizontal="center"/>
    </xf>
    <xf numFmtId="176" fontId="0" fillId="0" borderId="26" xfId="0" applyNumberFormat="1" applyBorder="1" applyAlignment="1">
      <alignment horizontal="center"/>
    </xf>
    <xf numFmtId="0" fontId="0" fillId="0" borderId="0" xfId="0" applyAlignment="1">
      <alignment horizontal="left"/>
    </xf>
    <xf numFmtId="4" fontId="29" fillId="5" borderId="26" xfId="2" applyNumberFormat="1" applyFont="1" applyFill="1" applyBorder="1" applyAlignment="1">
      <alignment horizontal="center"/>
    </xf>
    <xf numFmtId="3" fontId="41" fillId="5" borderId="24" xfId="2" applyNumberFormat="1" applyFont="1" applyFill="1" applyBorder="1" applyAlignment="1">
      <alignment horizontal="center"/>
    </xf>
    <xf numFmtId="169" fontId="4" fillId="0" borderId="0" xfId="2" applyNumberFormat="1" applyFont="1" applyAlignment="1">
      <alignment horizontal="center"/>
    </xf>
    <xf numFmtId="0" fontId="0" fillId="0" borderId="0" xfId="0" applyAlignment="1">
      <alignment horizontal="left" vertical="center"/>
    </xf>
    <xf numFmtId="0" fontId="31" fillId="10" borderId="0" xfId="0" applyFont="1" applyFill="1" applyAlignment="1">
      <alignment horizontal="left" vertical="center" indent="1"/>
    </xf>
    <xf numFmtId="0" fontId="31" fillId="10" borderId="0" xfId="0" applyFont="1" applyFill="1"/>
    <xf numFmtId="2" fontId="47" fillId="10" borderId="0" xfId="0" applyNumberFormat="1" applyFont="1" applyFill="1" applyAlignment="1">
      <alignment horizontal="center"/>
    </xf>
    <xf numFmtId="3" fontId="17" fillId="0" borderId="7" xfId="0" applyNumberFormat="1" applyFont="1" applyBorder="1" applyAlignment="1">
      <alignment horizontal="center" wrapText="1"/>
    </xf>
    <xf numFmtId="3" fontId="16" fillId="0" borderId="7" xfId="0" applyNumberFormat="1" applyFont="1" applyBorder="1" applyAlignment="1">
      <alignment horizontal="center" wrapText="1"/>
    </xf>
    <xf numFmtId="0" fontId="30" fillId="0" borderId="0" xfId="0" applyFont="1"/>
    <xf numFmtId="0" fontId="30" fillId="0" borderId="0" xfId="0" applyFont="1" applyAlignment="1">
      <alignment wrapText="1"/>
    </xf>
    <xf numFmtId="0" fontId="30" fillId="0" borderId="0" xfId="0" applyFont="1" applyAlignment="1">
      <alignment horizontal="center" wrapText="1"/>
    </xf>
    <xf numFmtId="3" fontId="30" fillId="0" borderId="8" xfId="0" applyNumberFormat="1" applyFont="1" applyBorder="1" applyAlignment="1">
      <alignment horizontal="center" wrapText="1"/>
    </xf>
    <xf numFmtId="0" fontId="48" fillId="0" borderId="0" xfId="0" applyFont="1" applyAlignment="1">
      <alignment horizontal="left" vertical="top"/>
    </xf>
    <xf numFmtId="0" fontId="48" fillId="0" borderId="0" xfId="0" applyFont="1"/>
    <xf numFmtId="174" fontId="6" fillId="0" borderId="0" xfId="0" applyNumberFormat="1" applyFont="1" applyAlignment="1">
      <alignment horizontal="center"/>
    </xf>
    <xf numFmtId="0" fontId="49" fillId="0" borderId="0" xfId="0" applyFont="1" applyAlignment="1">
      <alignment horizontal="left" vertical="center" readingOrder="1"/>
    </xf>
    <xf numFmtId="164" fontId="30" fillId="0" borderId="0" xfId="0" applyNumberFormat="1" applyFont="1"/>
    <xf numFmtId="170" fontId="4" fillId="0" borderId="23" xfId="3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45" fillId="0" borderId="0" xfId="5"/>
    <xf numFmtId="172" fontId="4" fillId="0" borderId="0" xfId="0" applyNumberFormat="1" applyFont="1" applyAlignment="1">
      <alignment horizontal="center"/>
    </xf>
    <xf numFmtId="173" fontId="4" fillId="0" borderId="0" xfId="3" applyNumberFormat="1" applyFont="1" applyBorder="1" applyAlignment="1">
      <alignment horizontal="center"/>
    </xf>
    <xf numFmtId="170" fontId="4" fillId="0" borderId="24" xfId="0" applyNumberFormat="1" applyFont="1" applyBorder="1" applyAlignment="1">
      <alignment horizontal="center"/>
    </xf>
    <xf numFmtId="170" fontId="4" fillId="0" borderId="0" xfId="3" applyNumberFormat="1" applyFont="1" applyBorder="1" applyAlignment="1">
      <alignment horizontal="center"/>
    </xf>
    <xf numFmtId="3" fontId="30" fillId="0" borderId="0" xfId="0" applyNumberFormat="1" applyFont="1" applyAlignment="1">
      <alignment horizontal="left" wrapText="1"/>
    </xf>
    <xf numFmtId="175" fontId="0" fillId="12" borderId="0" xfId="0" applyNumberFormat="1" applyFill="1"/>
    <xf numFmtId="0" fontId="50" fillId="0" borderId="7" xfId="0" applyFont="1" applyBorder="1" applyAlignment="1">
      <alignment wrapText="1"/>
    </xf>
    <xf numFmtId="164" fontId="29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center"/>
    </xf>
    <xf numFmtId="169" fontId="25" fillId="0" borderId="0" xfId="0" applyNumberFormat="1" applyFont="1"/>
    <xf numFmtId="169" fontId="0" fillId="0" borderId="0" xfId="0" applyNumberFormat="1"/>
    <xf numFmtId="169" fontId="4" fillId="0" borderId="0" xfId="2" applyNumberFormat="1" applyFont="1" applyFill="1" applyBorder="1" applyAlignment="1">
      <alignment horizontal="center"/>
    </xf>
    <xf numFmtId="0" fontId="51" fillId="18" borderId="0" xfId="0" applyFont="1" applyFill="1" applyAlignment="1">
      <alignment horizontal="center"/>
    </xf>
    <xf numFmtId="0" fontId="0" fillId="8" borderId="0" xfId="0" applyFill="1"/>
    <xf numFmtId="0" fontId="9" fillId="8" borderId="0" xfId="0" applyFont="1" applyFill="1"/>
    <xf numFmtId="0" fontId="9" fillId="20" borderId="0" xfId="0" applyFont="1" applyFill="1"/>
    <xf numFmtId="0" fontId="0" fillId="20" borderId="0" xfId="0" applyFill="1"/>
    <xf numFmtId="1" fontId="0" fillId="8" borderId="0" xfId="0" applyNumberFormat="1" applyFill="1"/>
    <xf numFmtId="1" fontId="0" fillId="19" borderId="0" xfId="0" applyNumberFormat="1" applyFill="1"/>
    <xf numFmtId="9" fontId="1" fillId="15" borderId="0" xfId="2" applyFont="1" applyFill="1" applyBorder="1" applyAlignment="1">
      <alignment horizontal="center"/>
    </xf>
    <xf numFmtId="0" fontId="0" fillId="5" borderId="0" xfId="0" applyFill="1" applyAlignment="1">
      <alignment horizontal="left" indent="1"/>
    </xf>
    <xf numFmtId="0" fontId="4" fillId="5" borderId="0" xfId="0" applyFont="1" applyFill="1" applyAlignment="1">
      <alignment horizontal="center"/>
    </xf>
    <xf numFmtId="0" fontId="52" fillId="0" borderId="0" xfId="0" applyFont="1"/>
    <xf numFmtId="174" fontId="52" fillId="0" borderId="0" xfId="0" applyNumberFormat="1" applyFont="1" applyAlignment="1">
      <alignment horizontal="center"/>
    </xf>
    <xf numFmtId="0" fontId="53" fillId="0" borderId="0" xfId="0" applyFont="1"/>
    <xf numFmtId="174" fontId="53" fillId="0" borderId="0" xfId="0" applyNumberFormat="1" applyFont="1" applyAlignment="1">
      <alignment horizontal="center"/>
    </xf>
    <xf numFmtId="0" fontId="54" fillId="0" borderId="0" xfId="0" applyFont="1"/>
    <xf numFmtId="0" fontId="52" fillId="0" borderId="2" xfId="0" applyFont="1" applyBorder="1"/>
    <xf numFmtId="174" fontId="53" fillId="0" borderId="2" xfId="0" applyNumberFormat="1" applyFont="1" applyBorder="1" applyAlignment="1">
      <alignment horizontal="center"/>
    </xf>
    <xf numFmtId="0" fontId="53" fillId="0" borderId="0" xfId="0" applyFont="1" applyAlignment="1">
      <alignment wrapText="1"/>
    </xf>
    <xf numFmtId="174" fontId="53" fillId="0" borderId="0" xfId="0" applyNumberFormat="1" applyFont="1" applyAlignment="1">
      <alignment horizontal="center" wrapText="1"/>
    </xf>
    <xf numFmtId="0" fontId="52" fillId="0" borderId="3" xfId="0" applyFont="1" applyBorder="1" applyAlignment="1">
      <alignment wrapText="1"/>
    </xf>
    <xf numFmtId="174" fontId="53" fillId="0" borderId="3" xfId="0" applyNumberFormat="1" applyFont="1" applyBorder="1" applyAlignment="1">
      <alignment horizontal="center" wrapText="1"/>
    </xf>
    <xf numFmtId="0" fontId="55" fillId="0" borderId="0" xfId="0" applyFont="1" applyAlignment="1">
      <alignment horizontal="right"/>
    </xf>
    <xf numFmtId="174" fontId="53" fillId="0" borderId="0" xfId="0" applyNumberFormat="1" applyFont="1"/>
    <xf numFmtId="0" fontId="52" fillId="0" borderId="0" xfId="0" applyFont="1" applyAlignment="1">
      <alignment wrapText="1"/>
    </xf>
    <xf numFmtId="174" fontId="56" fillId="0" borderId="0" xfId="0" applyNumberFormat="1" applyFont="1" applyAlignment="1">
      <alignment horizontal="center" vertical="center" wrapText="1"/>
    </xf>
    <xf numFmtId="174" fontId="53" fillId="0" borderId="0" xfId="0" applyNumberFormat="1" applyFont="1" applyAlignment="1">
      <alignment wrapText="1"/>
    </xf>
    <xf numFmtId="174" fontId="55" fillId="0" borderId="0" xfId="0" applyNumberFormat="1" applyFont="1" applyAlignment="1">
      <alignment wrapText="1"/>
    </xf>
    <xf numFmtId="2" fontId="57" fillId="0" borderId="0" xfId="0" applyNumberFormat="1" applyFont="1" applyAlignment="1">
      <alignment horizontal="right" wrapText="1"/>
    </xf>
    <xf numFmtId="0" fontId="1" fillId="20" borderId="0" xfId="0" applyFont="1" applyFill="1"/>
    <xf numFmtId="174" fontId="57" fillId="0" borderId="0" xfId="0" applyNumberFormat="1" applyFont="1"/>
    <xf numFmtId="0" fontId="0" fillId="4" borderId="9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3" fontId="0" fillId="4" borderId="10" xfId="0" applyNumberFormat="1" applyFill="1" applyBorder="1" applyAlignment="1">
      <alignment horizontal="center" vertical="center" wrapText="1"/>
    </xf>
    <xf numFmtId="3" fontId="16" fillId="4" borderId="10" xfId="0" applyNumberFormat="1" applyFont="1" applyFill="1" applyBorder="1" applyAlignment="1">
      <alignment horizontal="center" vertical="center" wrapText="1"/>
    </xf>
    <xf numFmtId="3" fontId="16" fillId="10" borderId="13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3" fontId="29" fillId="0" borderId="0" xfId="2" applyNumberFormat="1" applyFont="1" applyFill="1" applyBorder="1" applyAlignment="1">
      <alignment horizontal="center"/>
    </xf>
    <xf numFmtId="0" fontId="60" fillId="23" borderId="27" xfId="0" applyFont="1" applyFill="1" applyBorder="1" applyAlignment="1">
      <alignment horizontal="center" vertical="center" wrapText="1"/>
    </xf>
    <xf numFmtId="0" fontId="61" fillId="17" borderId="27" xfId="0" applyFont="1" applyFill="1" applyBorder="1" applyAlignment="1">
      <alignment horizontal="center" vertical="center" wrapText="1"/>
    </xf>
    <xf numFmtId="0" fontId="62" fillId="0" borderId="27" xfId="0" applyFont="1" applyBorder="1" applyAlignment="1">
      <alignment horizontal="left" vertical="center" wrapText="1"/>
    </xf>
    <xf numFmtId="0" fontId="62" fillId="0" borderId="27" xfId="0" applyFont="1" applyBorder="1" applyAlignment="1">
      <alignment horizontal="center" vertical="center" wrapText="1"/>
    </xf>
    <xf numFmtId="3" fontId="62" fillId="0" borderId="27" xfId="0" applyNumberFormat="1" applyFont="1" applyBorder="1" applyAlignment="1">
      <alignment horizontal="center" vertical="center" wrapText="1"/>
    </xf>
    <xf numFmtId="3" fontId="60" fillId="22" borderId="27" xfId="0" applyNumberFormat="1" applyFont="1" applyFill="1" applyBorder="1" applyAlignment="1">
      <alignment horizontal="center" vertical="center" wrapText="1"/>
    </xf>
    <xf numFmtId="0" fontId="5" fillId="7" borderId="0" xfId="4" applyFill="1"/>
    <xf numFmtId="0" fontId="60" fillId="22" borderId="27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9" xfId="0" applyBorder="1"/>
    <xf numFmtId="0" fontId="63" fillId="0" borderId="27" xfId="0" applyFont="1" applyBorder="1" applyAlignment="1">
      <alignment horizontal="left" vertical="center" wrapText="1"/>
    </xf>
    <xf numFmtId="0" fontId="0" fillId="0" borderId="0" xfId="0"/>
    <xf numFmtId="0" fontId="59" fillId="21" borderId="27" xfId="0" applyFont="1" applyFill="1" applyBorder="1" applyAlignment="1">
      <alignment horizontal="center" vertical="center" wrapText="1"/>
    </xf>
    <xf numFmtId="0" fontId="60" fillId="0" borderId="27" xfId="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3" fontId="14" fillId="11" borderId="0" xfId="0" applyNumberFormat="1" applyFont="1" applyFill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0" fontId="20" fillId="0" borderId="4" xfId="0" applyFont="1" applyBorder="1" applyAlignment="1">
      <alignment horizontal="center" vertical="top"/>
    </xf>
    <xf numFmtId="0" fontId="20" fillId="0" borderId="7" xfId="0" applyFont="1" applyBorder="1" applyAlignment="1">
      <alignment horizontal="center" vertical="top"/>
    </xf>
    <xf numFmtId="3" fontId="58" fillId="9" borderId="5" xfId="0" applyNumberFormat="1" applyFont="1" applyFill="1" applyBorder="1" applyAlignment="1">
      <alignment horizontal="center" vertical="center"/>
    </xf>
    <xf numFmtId="3" fontId="58" fillId="9" borderId="0" xfId="0" applyNumberFormat="1" applyFont="1" applyFill="1" applyAlignment="1">
      <alignment horizontal="center" vertical="center"/>
    </xf>
    <xf numFmtId="3" fontId="18" fillId="11" borderId="0" xfId="0" applyNumberFormat="1" applyFont="1" applyFill="1" applyAlignment="1">
      <alignment horizontal="center" wrapText="1"/>
    </xf>
    <xf numFmtId="3" fontId="16" fillId="4" borderId="0" xfId="0" applyNumberFormat="1" applyFont="1" applyFill="1" applyAlignment="1">
      <alignment horizontal="center" vertical="center" wrapText="1"/>
    </xf>
    <xf numFmtId="3" fontId="16" fillId="4" borderId="12" xfId="0" applyNumberFormat="1" applyFont="1" applyFill="1" applyBorder="1" applyAlignment="1">
      <alignment horizontal="center" vertical="center" wrapText="1"/>
    </xf>
    <xf numFmtId="3" fontId="24" fillId="4" borderId="15" xfId="0" applyNumberFormat="1" applyFont="1" applyFill="1" applyBorder="1" applyAlignment="1">
      <alignment horizontal="center" wrapText="1"/>
    </xf>
    <xf numFmtId="3" fontId="24" fillId="4" borderId="16" xfId="0" applyNumberFormat="1" applyFont="1" applyFill="1" applyBorder="1" applyAlignment="1">
      <alignment horizontal="center" wrapText="1"/>
    </xf>
    <xf numFmtId="0" fontId="16" fillId="12" borderId="7" xfId="0" applyFont="1" applyFill="1" applyBorder="1" applyAlignment="1">
      <alignment horizontal="center" wrapText="1"/>
    </xf>
    <xf numFmtId="3" fontId="20" fillId="0" borderId="1" xfId="0" applyNumberFormat="1" applyFont="1" applyBorder="1" applyAlignment="1">
      <alignment horizontal="center" wrapText="1"/>
    </xf>
    <xf numFmtId="0" fontId="20" fillId="0" borderId="4" xfId="0" applyFont="1" applyBorder="1" applyAlignment="1">
      <alignment vertical="top"/>
    </xf>
    <xf numFmtId="0" fontId="20" fillId="0" borderId="5" xfId="0" applyFont="1" applyBorder="1" applyAlignment="1">
      <alignment vertical="top"/>
    </xf>
    <xf numFmtId="0" fontId="20" fillId="0" borderId="7" xfId="0" applyFont="1" applyBorder="1" applyAlignment="1">
      <alignment vertical="top"/>
    </xf>
    <xf numFmtId="0" fontId="20" fillId="0" borderId="0" xfId="0" applyFont="1" applyAlignment="1">
      <alignment vertical="top"/>
    </xf>
    <xf numFmtId="0" fontId="20" fillId="12" borderId="4" xfId="0" applyFont="1" applyFill="1" applyBorder="1" applyAlignment="1">
      <alignment horizontal="left" vertical="top"/>
    </xf>
    <xf numFmtId="0" fontId="20" fillId="12" borderId="5" xfId="0" applyFont="1" applyFill="1" applyBorder="1" applyAlignment="1">
      <alignment horizontal="left" vertical="top"/>
    </xf>
    <xf numFmtId="0" fontId="20" fillId="12" borderId="7" xfId="0" applyFont="1" applyFill="1" applyBorder="1" applyAlignment="1">
      <alignment horizontal="left" vertical="top"/>
    </xf>
    <xf numFmtId="0" fontId="20" fillId="12" borderId="0" xfId="0" applyFont="1" applyFill="1" applyAlignment="1">
      <alignment horizontal="left" vertical="top"/>
    </xf>
    <xf numFmtId="3" fontId="20" fillId="0" borderId="4" xfId="0" applyNumberFormat="1" applyFont="1" applyBorder="1" applyAlignment="1">
      <alignment horizontal="center" vertical="top"/>
    </xf>
    <xf numFmtId="3" fontId="20" fillId="0" borderId="5" xfId="0" applyNumberFormat="1" applyFont="1" applyBorder="1" applyAlignment="1">
      <alignment horizontal="center" vertical="top"/>
    </xf>
    <xf numFmtId="3" fontId="20" fillId="0" borderId="7" xfId="0" applyNumberFormat="1" applyFont="1" applyBorder="1" applyAlignment="1">
      <alignment horizontal="center" vertical="top"/>
    </xf>
    <xf numFmtId="3" fontId="20" fillId="0" borderId="0" xfId="0" applyNumberFormat="1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6">
    <cellStyle name="Currency" xfId="1" builtinId="4"/>
    <cellStyle name="Currency 2" xfId="3" xr:uid="{0B3891A9-60B8-40DB-8D2E-901C035429FE}"/>
    <cellStyle name="Hyperlink" xfId="5" builtinId="8"/>
    <cellStyle name="Normal" xfId="0" builtinId="0"/>
    <cellStyle name="Normal 2" xfId="4" xr:uid="{5ED41AB8-BE1A-4A57-BD07-18ABADBF9E56}"/>
    <cellStyle name="Percent" xfId="2" builtinId="5"/>
  </cellStyles>
  <dxfs count="2">
    <dxf>
      <font>
        <color rgb="FFC00000"/>
      </font>
      <fill>
        <patternFill>
          <fgColor theme="0" tint="-0.14996795556505021"/>
        </patternFill>
      </fill>
    </dxf>
    <dxf>
      <font>
        <color rgb="FFC00000"/>
      </font>
      <fill>
        <patternFill>
          <f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Framework!$R$18</c:f>
              <c:strCache>
                <c:ptCount val="1"/>
                <c:pt idx="0">
                  <c:v>Accumulated value in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Framework!$S$18:$AC$18</c:f>
              <c:numCache>
                <c:formatCode>[$$-409]#,##0</c:formatCode>
                <c:ptCount val="11"/>
                <c:pt idx="0">
                  <c:v>-10000</c:v>
                </c:pt>
                <c:pt idx="1">
                  <c:v>-174797.22038187293</c:v>
                </c:pt>
                <c:pt idx="2">
                  <c:v>-171294.65260141983</c:v>
                </c:pt>
                <c:pt idx="3">
                  <c:v>-162499.38409884251</c:v>
                </c:pt>
                <c:pt idx="4">
                  <c:v>-152255.35929988252</c:v>
                </c:pt>
                <c:pt idx="5">
                  <c:v>-138714.9986391828</c:v>
                </c:pt>
                <c:pt idx="6">
                  <c:v>-125682.01770609853</c:v>
                </c:pt>
                <c:pt idx="7">
                  <c:v>-108564.0124261656</c:v>
                </c:pt>
                <c:pt idx="8">
                  <c:v>-92614.290471835309</c:v>
                </c:pt>
                <c:pt idx="9">
                  <c:v>-75518.747716282131</c:v>
                </c:pt>
                <c:pt idx="10">
                  <c:v>-63172.628656389352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6-4504-BE73-D31F7A19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overlap val="90"/>
        <c:axId val="133827855"/>
        <c:axId val="133828815"/>
      </c:barChart>
      <c:catAx>
        <c:axId val="133827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8815"/>
        <c:crosses val="autoZero"/>
        <c:auto val="1"/>
        <c:lblAlgn val="ctr"/>
        <c:lblOffset val="100"/>
        <c:noMultiLvlLbl val="0"/>
      </c:catAx>
      <c:valAx>
        <c:axId val="13382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2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Last years' cost composition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Last years' cost composition</a:t>
          </a:r>
        </a:p>
      </cx:txPr>
    </cx:title>
    <cx:plotArea>
      <cx:plotAreaRegion>
        <cx:series layoutId="waterfall" uniqueId="{00000000-9FE5-4A27-BDE2-BBD468BE98D5}">
          <cx:tx>
            <cx:txData>
              <cx:f>_xlchart.v1.1</cx:f>
              <cx:v>Waterfall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10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.xml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266322</xdr:colOff>
      <xdr:row>16</xdr:row>
      <xdr:rowOff>115316</xdr:rowOff>
    </xdr:to>
    <xdr:pic>
      <xdr:nvPicPr>
        <xdr:cNvPr id="2" name="image5.png" descr="Making Aquaponics a Business: A Framework">
          <a:extLst>
            <a:ext uri="{FF2B5EF4-FFF2-40B4-BE49-F238E27FC236}">
              <a16:creationId xmlns:a16="http://schemas.microsoft.com/office/drawing/2014/main" id="{E0048A54-7DA4-2535-4161-0B9D55BE819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8224838" cy="3576638"/>
        </a:xfrm>
        <a:prstGeom prst="rect">
          <a:avLst/>
        </a:prstGeom>
        <a:ln/>
      </xdr:spPr>
    </xdr:pic>
    <xdr:clientData/>
  </xdr:twoCellAnchor>
  <xdr:twoCellAnchor>
    <xdr:from>
      <xdr:col>17</xdr:col>
      <xdr:colOff>36963</xdr:colOff>
      <xdr:row>22</xdr:row>
      <xdr:rowOff>24363</xdr:rowOff>
    </xdr:from>
    <xdr:to>
      <xdr:col>22</xdr:col>
      <xdr:colOff>134936</xdr:colOff>
      <xdr:row>30</xdr:row>
      <xdr:rowOff>167115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72B6EB-B778-9AF5-8B11-63693B288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450414</xdr:colOff>
      <xdr:row>22</xdr:row>
      <xdr:rowOff>39252</xdr:rowOff>
    </xdr:from>
    <xdr:to>
      <xdr:col>29</xdr:col>
      <xdr:colOff>176933</xdr:colOff>
      <xdr:row>30</xdr:row>
      <xdr:rowOff>254141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8DAFC37-A25C-0DA1-B017-A80EA958CC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39827" y="4787465"/>
              <a:ext cx="8327594" cy="28437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ewibnet.org/tariffs-dashboar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380C-8214-48EF-9A5C-BFD0D0D466E4}">
  <dimension ref="A1:G41"/>
  <sheetViews>
    <sheetView workbookViewId="0">
      <pane ySplit="8" topLeftCell="A9" activePane="bottomLeft" state="frozen"/>
      <selection pane="bottomLeft" activeCell="D20" sqref="D20"/>
    </sheetView>
  </sheetViews>
  <sheetFormatPr defaultRowHeight="14.25" x14ac:dyDescent="0.45"/>
  <cols>
    <col min="1" max="1" width="30" customWidth="1"/>
    <col min="2" max="2" width="14" customWidth="1"/>
    <col min="3" max="3" width="20" customWidth="1"/>
    <col min="4" max="4" width="10" customWidth="1"/>
    <col min="5" max="5" width="26" customWidth="1"/>
    <col min="6" max="6" width="16" customWidth="1"/>
    <col min="7" max="7" width="42" customWidth="1"/>
  </cols>
  <sheetData>
    <row r="1" spans="1:7" ht="28.05" customHeight="1" x14ac:dyDescent="0.45">
      <c r="A1" s="273" t="s">
        <v>453</v>
      </c>
      <c r="B1" s="272"/>
      <c r="C1" s="272"/>
      <c r="D1" s="272"/>
      <c r="E1" s="272"/>
      <c r="F1" s="272"/>
      <c r="G1" s="272"/>
    </row>
    <row r="3" spans="1:7" x14ac:dyDescent="0.45">
      <c r="A3" s="268" t="s">
        <v>454</v>
      </c>
      <c r="B3" s="269"/>
      <c r="C3" s="269"/>
      <c r="D3" s="269"/>
      <c r="E3" s="269"/>
      <c r="F3" s="269"/>
      <c r="G3" s="270"/>
    </row>
    <row r="4" spans="1:7" x14ac:dyDescent="0.45">
      <c r="A4" s="274" t="s">
        <v>455</v>
      </c>
      <c r="B4" s="269"/>
      <c r="C4" s="270"/>
      <c r="D4" s="261">
        <v>10</v>
      </c>
    </row>
    <row r="5" spans="1:7" x14ac:dyDescent="0.45">
      <c r="A5" s="274" t="s">
        <v>456</v>
      </c>
      <c r="B5" s="269"/>
      <c r="C5" s="270"/>
      <c r="D5" s="261">
        <v>100</v>
      </c>
    </row>
    <row r="6" spans="1:7" x14ac:dyDescent="0.45">
      <c r="A6" s="274" t="s">
        <v>457</v>
      </c>
      <c r="B6" s="269"/>
      <c r="C6" s="270"/>
      <c r="D6" s="261">
        <v>5</v>
      </c>
    </row>
    <row r="8" spans="1:7" ht="26.25" x14ac:dyDescent="0.45">
      <c r="A8" s="262" t="s">
        <v>413</v>
      </c>
      <c r="B8" s="262" t="s">
        <v>458</v>
      </c>
      <c r="C8" s="262" t="s">
        <v>459</v>
      </c>
      <c r="D8" s="262" t="s">
        <v>460</v>
      </c>
      <c r="E8" s="262" t="s">
        <v>461</v>
      </c>
      <c r="F8" s="262" t="s">
        <v>462</v>
      </c>
      <c r="G8" s="262" t="s">
        <v>463</v>
      </c>
    </row>
    <row r="9" spans="1:7" x14ac:dyDescent="0.45">
      <c r="A9" s="268" t="s">
        <v>464</v>
      </c>
      <c r="B9" s="269"/>
      <c r="C9" s="269"/>
      <c r="D9" s="269"/>
      <c r="E9" s="269"/>
      <c r="F9" s="269"/>
      <c r="G9" s="270"/>
    </row>
    <row r="10" spans="1:7" x14ac:dyDescent="0.45">
      <c r="A10" s="263" t="s">
        <v>465</v>
      </c>
      <c r="B10" s="263" t="s">
        <v>450</v>
      </c>
      <c r="C10" s="264" t="s">
        <v>466</v>
      </c>
      <c r="D10" s="264">
        <v>12</v>
      </c>
      <c r="E10" s="263" t="s">
        <v>467</v>
      </c>
      <c r="F10" s="265">
        <f>100*$D$5*12*365/1000</f>
        <v>43800</v>
      </c>
      <c r="G10" s="263" t="s">
        <v>468</v>
      </c>
    </row>
    <row r="11" spans="1:7" x14ac:dyDescent="0.45">
      <c r="A11" s="263" t="s">
        <v>469</v>
      </c>
      <c r="B11" s="263" t="s">
        <v>450</v>
      </c>
      <c r="C11" s="264" t="s">
        <v>470</v>
      </c>
      <c r="D11" s="264">
        <v>12</v>
      </c>
      <c r="E11" s="263" t="s">
        <v>471</v>
      </c>
      <c r="F11" s="265">
        <f>7.5*$D$5*12*365/1000</f>
        <v>3285</v>
      </c>
      <c r="G11" s="263" t="s">
        <v>472</v>
      </c>
    </row>
    <row r="12" spans="1:7" x14ac:dyDescent="0.45">
      <c r="A12" s="263" t="s">
        <v>102</v>
      </c>
      <c r="B12" s="263" t="s">
        <v>450</v>
      </c>
      <c r="C12" s="264" t="s">
        <v>473</v>
      </c>
      <c r="D12" s="264">
        <v>8</v>
      </c>
      <c r="E12" s="263" t="s">
        <v>474</v>
      </c>
      <c r="F12" s="265">
        <f>22.5*$D$5*8*365/1000</f>
        <v>6570</v>
      </c>
      <c r="G12" s="263" t="s">
        <v>475</v>
      </c>
    </row>
    <row r="13" spans="1:7" x14ac:dyDescent="0.45">
      <c r="A13" s="263" t="s">
        <v>476</v>
      </c>
      <c r="B13" s="263" t="s">
        <v>450</v>
      </c>
      <c r="C13" s="264" t="s">
        <v>477</v>
      </c>
      <c r="D13" s="264">
        <v>24</v>
      </c>
      <c r="E13" s="263" t="s">
        <v>478</v>
      </c>
      <c r="F13" s="265">
        <f>3*$D$5*24*365/1000</f>
        <v>2628</v>
      </c>
      <c r="G13" s="263" t="s">
        <v>479</v>
      </c>
    </row>
    <row r="14" spans="1:7" x14ac:dyDescent="0.45">
      <c r="A14" s="263" t="s">
        <v>480</v>
      </c>
      <c r="B14" s="263" t="s">
        <v>450</v>
      </c>
      <c r="C14" s="264" t="s">
        <v>477</v>
      </c>
      <c r="D14" s="264">
        <v>24</v>
      </c>
      <c r="E14" s="263" t="s">
        <v>478</v>
      </c>
      <c r="F14" s="265">
        <f>3*$D$5*24*365/1000</f>
        <v>2628</v>
      </c>
      <c r="G14" s="263" t="s">
        <v>481</v>
      </c>
    </row>
    <row r="15" spans="1:7" x14ac:dyDescent="0.45">
      <c r="A15" s="268" t="s">
        <v>482</v>
      </c>
      <c r="B15" s="269"/>
      <c r="C15" s="269"/>
      <c r="D15" s="269"/>
      <c r="E15" s="269"/>
      <c r="F15" s="269"/>
      <c r="G15" s="270"/>
    </row>
    <row r="16" spans="1:7" x14ac:dyDescent="0.45">
      <c r="A16" s="263" t="s">
        <v>483</v>
      </c>
      <c r="B16" s="263" t="s">
        <v>484</v>
      </c>
      <c r="C16" s="264" t="s">
        <v>485</v>
      </c>
      <c r="D16" s="264">
        <v>24</v>
      </c>
      <c r="E16" s="263" t="s">
        <v>486</v>
      </c>
      <c r="F16" s="265">
        <f>15*$D$4*24*365/1000</f>
        <v>1314</v>
      </c>
      <c r="G16" s="263" t="s">
        <v>487</v>
      </c>
    </row>
    <row r="17" spans="1:7" x14ac:dyDescent="0.45">
      <c r="A17" s="263" t="s">
        <v>80</v>
      </c>
      <c r="B17" s="263" t="s">
        <v>484</v>
      </c>
      <c r="C17" s="264" t="s">
        <v>488</v>
      </c>
      <c r="D17" s="264">
        <v>24</v>
      </c>
      <c r="E17" s="263" t="s">
        <v>489</v>
      </c>
      <c r="F17" s="265">
        <f>4.5*$D$4*24*365/1000</f>
        <v>394.2</v>
      </c>
      <c r="G17" s="263" t="s">
        <v>490</v>
      </c>
    </row>
    <row r="18" spans="1:7" x14ac:dyDescent="0.45">
      <c r="A18" s="263" t="s">
        <v>90</v>
      </c>
      <c r="B18" s="263" t="s">
        <v>484</v>
      </c>
      <c r="C18" s="264" t="s">
        <v>466</v>
      </c>
      <c r="D18" s="264">
        <v>24</v>
      </c>
      <c r="E18" s="263" t="s">
        <v>491</v>
      </c>
      <c r="F18" s="265">
        <f>100*$D$4*24*365/1000</f>
        <v>8760</v>
      </c>
      <c r="G18" s="263" t="s">
        <v>492</v>
      </c>
    </row>
    <row r="19" spans="1:7" x14ac:dyDescent="0.45">
      <c r="A19" s="263" t="s">
        <v>493</v>
      </c>
      <c r="B19" s="263" t="s">
        <v>484</v>
      </c>
      <c r="C19" s="264" t="s">
        <v>494</v>
      </c>
      <c r="D19" s="264">
        <v>12</v>
      </c>
      <c r="E19" s="263" t="s">
        <v>495</v>
      </c>
      <c r="F19" s="265">
        <f>12.5*$D$4*12*365/1000</f>
        <v>547.5</v>
      </c>
      <c r="G19" s="263" t="s">
        <v>496</v>
      </c>
    </row>
    <row r="20" spans="1:7" x14ac:dyDescent="0.45">
      <c r="A20" s="263" t="s">
        <v>497</v>
      </c>
      <c r="B20" s="263" t="s">
        <v>484</v>
      </c>
      <c r="C20" s="264" t="s">
        <v>498</v>
      </c>
      <c r="D20" s="264">
        <v>4</v>
      </c>
      <c r="E20" s="263" t="s">
        <v>499</v>
      </c>
      <c r="F20" s="265">
        <f>200*$D$4*4*365/1000</f>
        <v>2920</v>
      </c>
      <c r="G20" s="263" t="s">
        <v>500</v>
      </c>
    </row>
    <row r="21" spans="1:7" x14ac:dyDescent="0.45">
      <c r="A21" s="263" t="s">
        <v>89</v>
      </c>
      <c r="B21" s="263" t="s">
        <v>484</v>
      </c>
      <c r="C21" s="264" t="s">
        <v>501</v>
      </c>
      <c r="D21" s="264">
        <v>24</v>
      </c>
      <c r="E21" s="263" t="s">
        <v>502</v>
      </c>
      <c r="F21" s="265">
        <f>20*$D$4*24*365/1000</f>
        <v>1752</v>
      </c>
      <c r="G21" s="263" t="s">
        <v>503</v>
      </c>
    </row>
    <row r="22" spans="1:7" x14ac:dyDescent="0.45">
      <c r="A22" s="263" t="s">
        <v>504</v>
      </c>
      <c r="B22" s="263" t="s">
        <v>484</v>
      </c>
      <c r="C22" s="264" t="s">
        <v>505</v>
      </c>
      <c r="D22" s="264">
        <v>24</v>
      </c>
      <c r="E22" s="263" t="s">
        <v>506</v>
      </c>
      <c r="F22" s="265">
        <f>4*$D$4*24*365/1000</f>
        <v>350.4</v>
      </c>
      <c r="G22" s="263" t="s">
        <v>507</v>
      </c>
    </row>
    <row r="23" spans="1:7" x14ac:dyDescent="0.45">
      <c r="A23" s="263" t="s">
        <v>87</v>
      </c>
      <c r="B23" s="263" t="s">
        <v>508</v>
      </c>
      <c r="C23" s="264" t="s">
        <v>477</v>
      </c>
      <c r="D23" s="264">
        <v>2</v>
      </c>
      <c r="E23" s="263" t="s">
        <v>509</v>
      </c>
      <c r="F23" s="265">
        <f>3*$D$4*2*365/1000</f>
        <v>21.9</v>
      </c>
      <c r="G23" s="263" t="s">
        <v>510</v>
      </c>
    </row>
    <row r="24" spans="1:7" x14ac:dyDescent="0.45">
      <c r="A24" s="263" t="s">
        <v>394</v>
      </c>
      <c r="B24" s="263" t="s">
        <v>484</v>
      </c>
      <c r="C24" s="264" t="s">
        <v>511</v>
      </c>
      <c r="D24" s="264">
        <v>24</v>
      </c>
      <c r="E24" s="263" t="s">
        <v>512</v>
      </c>
      <c r="F24" s="265">
        <f>40*$D$4*24*365/1000</f>
        <v>3504</v>
      </c>
      <c r="G24" s="263" t="s">
        <v>513</v>
      </c>
    </row>
    <row r="25" spans="1:7" x14ac:dyDescent="0.45">
      <c r="A25" s="263" t="s">
        <v>514</v>
      </c>
      <c r="B25" s="263" t="s">
        <v>484</v>
      </c>
      <c r="C25" s="264" t="s">
        <v>515</v>
      </c>
      <c r="D25" s="264">
        <v>24</v>
      </c>
      <c r="E25" s="263" t="s">
        <v>516</v>
      </c>
      <c r="F25" s="265">
        <f>2.5*$D$4*24*365/1000</f>
        <v>219</v>
      </c>
      <c r="G25" s="263" t="s">
        <v>517</v>
      </c>
    </row>
    <row r="26" spans="1:7" x14ac:dyDescent="0.45">
      <c r="A26" s="263" t="s">
        <v>518</v>
      </c>
      <c r="B26" s="263" t="s">
        <v>484</v>
      </c>
      <c r="C26" s="264" t="s">
        <v>519</v>
      </c>
      <c r="D26" s="264">
        <v>24</v>
      </c>
      <c r="E26" s="263" t="s">
        <v>520</v>
      </c>
      <c r="F26" s="265">
        <f>10*$D$4*24*365/1000</f>
        <v>876</v>
      </c>
      <c r="G26" s="263" t="s">
        <v>521</v>
      </c>
    </row>
    <row r="27" spans="1:7" x14ac:dyDescent="0.45">
      <c r="A27" s="263" t="s">
        <v>108</v>
      </c>
      <c r="B27" s="263" t="s">
        <v>484</v>
      </c>
      <c r="C27" s="264" t="s">
        <v>522</v>
      </c>
      <c r="D27" s="264">
        <v>2</v>
      </c>
      <c r="E27" s="263" t="s">
        <v>523</v>
      </c>
      <c r="F27" s="265">
        <f>1.5*$D$4*2*365/1000</f>
        <v>10.95</v>
      </c>
      <c r="G27" s="263" t="s">
        <v>524</v>
      </c>
    </row>
    <row r="28" spans="1:7" x14ac:dyDescent="0.45">
      <c r="A28" s="263" t="s">
        <v>525</v>
      </c>
      <c r="B28" s="263" t="s">
        <v>484</v>
      </c>
      <c r="C28" s="264" t="s">
        <v>501</v>
      </c>
      <c r="D28" s="264">
        <v>24</v>
      </c>
      <c r="E28" s="263" t="s">
        <v>502</v>
      </c>
      <c r="F28" s="265">
        <f>20*$D$4*24*365/1000</f>
        <v>1752</v>
      </c>
      <c r="G28" s="263" t="s">
        <v>526</v>
      </c>
    </row>
    <row r="29" spans="1:7" x14ac:dyDescent="0.45">
      <c r="A29" s="263" t="s">
        <v>527</v>
      </c>
      <c r="B29" s="263" t="s">
        <v>484</v>
      </c>
      <c r="C29" s="264" t="s">
        <v>528</v>
      </c>
      <c r="D29" s="264">
        <v>4</v>
      </c>
      <c r="E29" s="263" t="s">
        <v>529</v>
      </c>
      <c r="F29" s="265">
        <f>400*$D$4*4*365/1000</f>
        <v>5840</v>
      </c>
      <c r="G29" s="263" t="s">
        <v>530</v>
      </c>
    </row>
    <row r="30" spans="1:7" x14ac:dyDescent="0.45">
      <c r="A30" s="263" t="s">
        <v>111</v>
      </c>
      <c r="B30" s="263" t="s">
        <v>484</v>
      </c>
      <c r="C30" s="264" t="s">
        <v>531</v>
      </c>
      <c r="D30" s="264">
        <v>4</v>
      </c>
      <c r="E30" s="263" t="s">
        <v>532</v>
      </c>
      <c r="F30" s="265">
        <f>125*$D$4*4*365/1000</f>
        <v>1825</v>
      </c>
      <c r="G30" s="263" t="s">
        <v>500</v>
      </c>
    </row>
    <row r="31" spans="1:7" x14ac:dyDescent="0.45">
      <c r="A31" s="268" t="s">
        <v>533</v>
      </c>
      <c r="B31" s="269"/>
      <c r="C31" s="269"/>
      <c r="D31" s="269"/>
      <c r="E31" s="269"/>
      <c r="F31" s="269"/>
      <c r="G31" s="270"/>
    </row>
    <row r="32" spans="1:7" x14ac:dyDescent="0.45">
      <c r="A32" s="263" t="s">
        <v>99</v>
      </c>
      <c r="B32" s="263" t="s">
        <v>534</v>
      </c>
      <c r="C32" s="264" t="s">
        <v>535</v>
      </c>
      <c r="D32" s="264">
        <v>24</v>
      </c>
      <c r="E32" s="263" t="s">
        <v>536</v>
      </c>
      <c r="F32" s="265">
        <f>2*$D$6*24*365/1000</f>
        <v>87.6</v>
      </c>
      <c r="G32" s="263" t="s">
        <v>537</v>
      </c>
    </row>
    <row r="33" spans="1:7" x14ac:dyDescent="0.45">
      <c r="A33" s="263" t="s">
        <v>85</v>
      </c>
      <c r="B33" s="263" t="s">
        <v>534</v>
      </c>
      <c r="C33" s="264" t="s">
        <v>511</v>
      </c>
      <c r="D33" s="264">
        <v>24</v>
      </c>
      <c r="E33" s="263" t="s">
        <v>538</v>
      </c>
      <c r="F33" s="265">
        <f>40*$D$6*24*365/1000</f>
        <v>1752</v>
      </c>
      <c r="G33" s="263" t="s">
        <v>539</v>
      </c>
    </row>
    <row r="34" spans="1:7" x14ac:dyDescent="0.45">
      <c r="A34" s="263" t="s">
        <v>95</v>
      </c>
      <c r="B34" s="263" t="s">
        <v>534</v>
      </c>
      <c r="C34" s="264" t="s">
        <v>540</v>
      </c>
      <c r="D34" s="264">
        <v>24</v>
      </c>
      <c r="E34" s="263" t="s">
        <v>541</v>
      </c>
      <c r="F34" s="265">
        <f>3*$D$6*24*365/1000</f>
        <v>131.4</v>
      </c>
      <c r="G34" s="263" t="s">
        <v>542</v>
      </c>
    </row>
    <row r="35" spans="1:7" x14ac:dyDescent="0.45">
      <c r="A35" s="263" t="s">
        <v>96</v>
      </c>
      <c r="B35" s="263" t="s">
        <v>534</v>
      </c>
      <c r="C35" s="264" t="s">
        <v>535</v>
      </c>
      <c r="D35" s="264">
        <v>24</v>
      </c>
      <c r="E35" s="263" t="s">
        <v>536</v>
      </c>
      <c r="F35" s="265">
        <f>2*$D$6*24*365/1000</f>
        <v>87.6</v>
      </c>
      <c r="G35" s="263" t="s">
        <v>542</v>
      </c>
    </row>
    <row r="36" spans="1:7" x14ac:dyDescent="0.45">
      <c r="A36" s="263" t="s">
        <v>97</v>
      </c>
      <c r="B36" s="263" t="s">
        <v>534</v>
      </c>
      <c r="C36" s="264" t="s">
        <v>535</v>
      </c>
      <c r="D36" s="264">
        <v>24</v>
      </c>
      <c r="E36" s="263" t="s">
        <v>536</v>
      </c>
      <c r="F36" s="265">
        <f>2*$D$6*24*365/1000</f>
        <v>87.6</v>
      </c>
      <c r="G36" s="263" t="s">
        <v>542</v>
      </c>
    </row>
    <row r="37" spans="1:7" x14ac:dyDescent="0.45">
      <c r="A37" s="263" t="s">
        <v>92</v>
      </c>
      <c r="B37" s="263" t="s">
        <v>534</v>
      </c>
      <c r="C37" s="264" t="s">
        <v>488</v>
      </c>
      <c r="D37" s="264">
        <v>24</v>
      </c>
      <c r="E37" s="263" t="s">
        <v>543</v>
      </c>
      <c r="F37" s="265">
        <f>4.5*$D$6*24*365/1000</f>
        <v>197.1</v>
      </c>
      <c r="G37" s="263" t="s">
        <v>544</v>
      </c>
    </row>
    <row r="38" spans="1:7" x14ac:dyDescent="0.45">
      <c r="A38" s="263" t="s">
        <v>545</v>
      </c>
      <c r="B38" s="263" t="s">
        <v>534</v>
      </c>
      <c r="C38" s="264" t="s">
        <v>546</v>
      </c>
      <c r="D38" s="264">
        <v>0.1</v>
      </c>
      <c r="E38" s="263" t="s">
        <v>547</v>
      </c>
      <c r="F38" s="265">
        <f>500*$D$6*0.1*365/1000</f>
        <v>91.25</v>
      </c>
      <c r="G38" s="263" t="s">
        <v>548</v>
      </c>
    </row>
    <row r="39" spans="1:7" x14ac:dyDescent="0.45">
      <c r="A39" s="268" t="s">
        <v>549</v>
      </c>
      <c r="B39" s="269"/>
      <c r="C39" s="269"/>
      <c r="D39" s="269"/>
      <c r="E39" s="270"/>
      <c r="F39" s="266">
        <f>SUM(F9:F38)</f>
        <v>91432.5</v>
      </c>
    </row>
    <row r="41" spans="1:7" x14ac:dyDescent="0.45">
      <c r="A41" s="271" t="s">
        <v>550</v>
      </c>
      <c r="B41" s="272"/>
      <c r="C41" s="272"/>
      <c r="D41" s="272"/>
      <c r="E41" s="272"/>
      <c r="F41" s="272"/>
      <c r="G41" s="272"/>
    </row>
  </sheetData>
  <mergeCells count="10">
    <mergeCell ref="A15:G15"/>
    <mergeCell ref="A31:G31"/>
    <mergeCell ref="A39:E39"/>
    <mergeCell ref="A41:G41"/>
    <mergeCell ref="A1:G1"/>
    <mergeCell ref="A3:G3"/>
    <mergeCell ref="A4:C4"/>
    <mergeCell ref="A5:C5"/>
    <mergeCell ref="A6:C6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5B10D-8732-4FA1-89E0-F9780845CDC1}">
  <dimension ref="C2:I6"/>
  <sheetViews>
    <sheetView workbookViewId="0">
      <selection activeCell="H4" sqref="H4"/>
    </sheetView>
  </sheetViews>
  <sheetFormatPr defaultRowHeight="14.25" x14ac:dyDescent="0.45"/>
  <cols>
    <col min="9" max="9" width="14.796875" customWidth="1"/>
  </cols>
  <sheetData>
    <row r="2" spans="3:9" x14ac:dyDescent="0.45">
      <c r="D2">
        <v>1</v>
      </c>
      <c r="G2" t="s">
        <v>139</v>
      </c>
      <c r="H2">
        <v>20000</v>
      </c>
    </row>
    <row r="3" spans="3:9" ht="18" x14ac:dyDescent="0.55000000000000004">
      <c r="D3">
        <f>SUM(D5,D6)</f>
        <v>1</v>
      </c>
      <c r="H3">
        <f>(F6/H6)*D6+(F5/H5)*D5</f>
        <v>10000</v>
      </c>
      <c r="I3" s="24">
        <f>SUM(I5:I6)</f>
        <v>50000</v>
      </c>
    </row>
    <row r="4" spans="3:9" x14ac:dyDescent="0.45">
      <c r="D4" t="s">
        <v>134</v>
      </c>
      <c r="F4" t="s">
        <v>136</v>
      </c>
      <c r="G4" t="s">
        <v>137</v>
      </c>
      <c r="H4" t="s">
        <v>138</v>
      </c>
    </row>
    <row r="5" spans="3:9" x14ac:dyDescent="0.45">
      <c r="C5" t="s">
        <v>19</v>
      </c>
      <c r="D5" s="3">
        <v>1</v>
      </c>
      <c r="F5" s="3">
        <v>10000</v>
      </c>
      <c r="G5">
        <v>5</v>
      </c>
      <c r="H5" s="3">
        <v>1</v>
      </c>
      <c r="I5">
        <f>G5*F5*D5</f>
        <v>50000</v>
      </c>
    </row>
    <row r="6" spans="3:9" x14ac:dyDescent="0.45">
      <c r="C6" t="s">
        <v>135</v>
      </c>
      <c r="D6" s="3">
        <v>0</v>
      </c>
      <c r="F6" s="3">
        <v>10000</v>
      </c>
      <c r="G6">
        <v>3</v>
      </c>
      <c r="H6" s="3">
        <v>1</v>
      </c>
      <c r="I6">
        <f>G6*F6*D6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BF96-D0BF-43E8-B17B-1A5EB69EABF7}">
  <dimension ref="C2:I6"/>
  <sheetViews>
    <sheetView workbookViewId="0">
      <selection activeCell="I22" sqref="I22"/>
    </sheetView>
  </sheetViews>
  <sheetFormatPr defaultRowHeight="14.25" x14ac:dyDescent="0.45"/>
  <sheetData>
    <row r="2" spans="3:9" x14ac:dyDescent="0.45">
      <c r="D2">
        <v>1</v>
      </c>
      <c r="G2" t="s">
        <v>139</v>
      </c>
      <c r="H2">
        <v>20000</v>
      </c>
    </row>
    <row r="3" spans="3:9" ht="18" x14ac:dyDescent="0.55000000000000004">
      <c r="D3">
        <f>SUM(D5,D6)</f>
        <v>1</v>
      </c>
      <c r="H3">
        <f>(F6/H6)*D6+(F5/H5)*D5</f>
        <v>0</v>
      </c>
      <c r="I3" s="24">
        <f>SUM(I5:I6)</f>
        <v>0</v>
      </c>
    </row>
    <row r="4" spans="3:9" x14ac:dyDescent="0.45">
      <c r="D4" t="s">
        <v>134</v>
      </c>
      <c r="F4" t="s">
        <v>136</v>
      </c>
      <c r="G4" t="s">
        <v>137</v>
      </c>
      <c r="H4" t="s">
        <v>138</v>
      </c>
    </row>
    <row r="5" spans="3:9" x14ac:dyDescent="0.45">
      <c r="C5" t="s">
        <v>19</v>
      </c>
      <c r="D5" s="3">
        <v>1</v>
      </c>
      <c r="F5" s="3">
        <v>0</v>
      </c>
      <c r="G5">
        <v>2</v>
      </c>
      <c r="H5" s="3">
        <v>100</v>
      </c>
      <c r="I5">
        <f>G5*F5*D5</f>
        <v>0</v>
      </c>
    </row>
    <row r="6" spans="3:9" x14ac:dyDescent="0.45">
      <c r="C6" t="s">
        <v>135</v>
      </c>
      <c r="D6" s="3">
        <v>0</v>
      </c>
      <c r="F6" s="3">
        <v>0</v>
      </c>
      <c r="G6">
        <v>3</v>
      </c>
      <c r="H6" s="3">
        <v>1</v>
      </c>
      <c r="I6">
        <f>G6*F6*D6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77AA-6F39-4161-BF6E-4E8418E82F0F}">
  <dimension ref="A1:G60"/>
  <sheetViews>
    <sheetView topLeftCell="A6" workbookViewId="0">
      <selection activeCell="H56" sqref="H56"/>
    </sheetView>
  </sheetViews>
  <sheetFormatPr defaultRowHeight="14.25" x14ac:dyDescent="0.45"/>
  <sheetData>
    <row r="1" spans="1:1" x14ac:dyDescent="0.45">
      <c r="A1" t="s">
        <v>30</v>
      </c>
    </row>
    <row r="2" spans="1:1" x14ac:dyDescent="0.45">
      <c r="A2" t="s">
        <v>24</v>
      </c>
    </row>
    <row r="3" spans="1:1" ht="14.65" x14ac:dyDescent="0.5">
      <c r="A3" s="1" t="s">
        <v>25</v>
      </c>
    </row>
    <row r="4" spans="1:1" x14ac:dyDescent="0.45">
      <c r="A4" t="s">
        <v>26</v>
      </c>
    </row>
    <row r="5" spans="1:1" x14ac:dyDescent="0.45">
      <c r="A5" t="s">
        <v>27</v>
      </c>
    </row>
    <row r="6" spans="1:1" x14ac:dyDescent="0.45">
      <c r="A6" t="s">
        <v>28</v>
      </c>
    </row>
    <row r="7" spans="1:1" x14ac:dyDescent="0.45">
      <c r="A7" t="s">
        <v>29</v>
      </c>
    </row>
    <row r="9" spans="1:1" x14ac:dyDescent="0.45">
      <c r="A9" t="s">
        <v>31</v>
      </c>
    </row>
    <row r="10" spans="1:1" x14ac:dyDescent="0.45">
      <c r="A10" s="2" t="s">
        <v>32</v>
      </c>
    </row>
    <row r="11" spans="1:1" x14ac:dyDescent="0.45">
      <c r="A11" t="s">
        <v>33</v>
      </c>
    </row>
    <row r="12" spans="1:1" x14ac:dyDescent="0.45">
      <c r="A12" t="s">
        <v>34</v>
      </c>
    </row>
    <row r="13" spans="1:1" x14ac:dyDescent="0.45">
      <c r="A13" t="s">
        <v>35</v>
      </c>
    </row>
    <row r="16" spans="1:1" ht="15" x14ac:dyDescent="0.45">
      <c r="A16" s="109" t="s">
        <v>220</v>
      </c>
    </row>
    <row r="19" spans="1:1" x14ac:dyDescent="0.45">
      <c r="A19" s="112" t="s">
        <v>224</v>
      </c>
    </row>
    <row r="20" spans="1:1" x14ac:dyDescent="0.45">
      <c r="A20" s="113" t="s">
        <v>225</v>
      </c>
    </row>
    <row r="21" spans="1:1" x14ac:dyDescent="0.45">
      <c r="A21" s="113" t="s">
        <v>226</v>
      </c>
    </row>
    <row r="22" spans="1:1" x14ac:dyDescent="0.45">
      <c r="A22" s="113" t="s">
        <v>227</v>
      </c>
    </row>
    <row r="23" spans="1:1" x14ac:dyDescent="0.45">
      <c r="A23" s="113" t="s">
        <v>228</v>
      </c>
    </row>
    <row r="24" spans="1:1" x14ac:dyDescent="0.45">
      <c r="A24" s="113" t="s">
        <v>229</v>
      </c>
    </row>
    <row r="25" spans="1:1" x14ac:dyDescent="0.45">
      <c r="A25" s="112" t="s">
        <v>230</v>
      </c>
    </row>
    <row r="28" spans="1:1" x14ac:dyDescent="0.45">
      <c r="A28" t="s">
        <v>275</v>
      </c>
    </row>
    <row r="29" spans="1:1" ht="15" x14ac:dyDescent="0.45">
      <c r="A29" s="109" t="s">
        <v>276</v>
      </c>
    </row>
    <row r="30" spans="1:1" x14ac:dyDescent="0.45">
      <c r="A30" s="178" t="s">
        <v>277</v>
      </c>
    </row>
    <row r="32" spans="1:1" x14ac:dyDescent="0.45">
      <c r="A32" t="s">
        <v>278</v>
      </c>
    </row>
    <row r="33" spans="1:1" x14ac:dyDescent="0.45">
      <c r="A33" t="s">
        <v>279</v>
      </c>
    </row>
    <row r="35" spans="1:1" x14ac:dyDescent="0.45">
      <c r="A35" t="s">
        <v>341</v>
      </c>
    </row>
    <row r="36" spans="1:1" x14ac:dyDescent="0.45">
      <c r="A36" s="210" t="s">
        <v>342</v>
      </c>
    </row>
    <row r="52" spans="1:7" x14ac:dyDescent="0.45">
      <c r="B52" t="s">
        <v>356</v>
      </c>
      <c r="E52" t="s">
        <v>357</v>
      </c>
    </row>
    <row r="54" spans="1:7" ht="42.75" x14ac:dyDescent="0.45">
      <c r="A54" t="s">
        <v>343</v>
      </c>
      <c r="B54" s="29" t="s">
        <v>344</v>
      </c>
      <c r="C54" s="44" t="s">
        <v>345</v>
      </c>
      <c r="D54" s="29" t="s">
        <v>346</v>
      </c>
      <c r="E54" s="29" t="s">
        <v>347</v>
      </c>
      <c r="F54" s="44" t="s">
        <v>348</v>
      </c>
      <c r="G54" s="29" t="s">
        <v>349</v>
      </c>
    </row>
    <row r="55" spans="1:7" x14ac:dyDescent="0.45">
      <c r="A55" t="s">
        <v>350</v>
      </c>
      <c r="B55" s="180">
        <v>0.107</v>
      </c>
      <c r="C55" s="216">
        <v>0.13300000000000001</v>
      </c>
      <c r="D55" s="180">
        <v>0.193</v>
      </c>
      <c r="E55" s="180">
        <v>0.03</v>
      </c>
      <c r="F55" s="216">
        <v>0.5</v>
      </c>
      <c r="G55" s="180">
        <v>2</v>
      </c>
    </row>
    <row r="56" spans="1:7" x14ac:dyDescent="0.45">
      <c r="A56" t="s">
        <v>351</v>
      </c>
      <c r="B56" s="180">
        <v>8.7999999999999995E-2</v>
      </c>
      <c r="C56" s="216">
        <v>0.107</v>
      </c>
      <c r="D56" s="180">
        <v>0.15</v>
      </c>
      <c r="E56" s="180">
        <v>0.01</v>
      </c>
      <c r="F56" s="216">
        <v>0.3</v>
      </c>
      <c r="G56" s="180">
        <v>1.5</v>
      </c>
    </row>
    <row r="57" spans="1:7" x14ac:dyDescent="0.45">
      <c r="A57" t="s">
        <v>352</v>
      </c>
      <c r="B57" s="180">
        <v>0.15</v>
      </c>
      <c r="C57" s="216">
        <v>0.16500000000000001</v>
      </c>
      <c r="D57" s="180">
        <v>0.2</v>
      </c>
      <c r="E57" s="180">
        <v>0.42</v>
      </c>
      <c r="F57" s="216">
        <v>1</v>
      </c>
      <c r="G57" s="180">
        <v>1.6</v>
      </c>
    </row>
    <row r="58" spans="1:7" x14ac:dyDescent="0.45">
      <c r="A58" t="s">
        <v>353</v>
      </c>
      <c r="B58" s="180">
        <v>0.16500000000000001</v>
      </c>
      <c r="C58" s="216">
        <v>0.20300000000000001</v>
      </c>
      <c r="D58" s="180">
        <v>0.23</v>
      </c>
      <c r="E58" s="180">
        <v>0.2</v>
      </c>
      <c r="F58" s="216">
        <v>0.8</v>
      </c>
      <c r="G58" s="180">
        <v>1.5</v>
      </c>
    </row>
    <row r="59" spans="1:7" x14ac:dyDescent="0.45">
      <c r="A59" t="s">
        <v>354</v>
      </c>
      <c r="B59" s="180">
        <v>0.21299999999999999</v>
      </c>
      <c r="C59" s="216">
        <v>0.24</v>
      </c>
      <c r="D59" s="180">
        <v>0.37</v>
      </c>
      <c r="E59" s="180">
        <v>1</v>
      </c>
      <c r="F59" s="216">
        <v>3.5</v>
      </c>
      <c r="G59" s="180">
        <v>9.2100000000000009</v>
      </c>
    </row>
    <row r="60" spans="1:7" x14ac:dyDescent="0.45">
      <c r="A60" t="s">
        <v>355</v>
      </c>
      <c r="B60" s="180">
        <v>0.26</v>
      </c>
      <c r="C60" s="216">
        <v>0.26600000000000001</v>
      </c>
      <c r="D60" s="180">
        <v>0.28000000000000003</v>
      </c>
      <c r="E60" s="180">
        <v>1</v>
      </c>
      <c r="F60" s="216">
        <v>4</v>
      </c>
      <c r="G60" s="180">
        <v>6.47</v>
      </c>
    </row>
  </sheetData>
  <hyperlinks>
    <hyperlink ref="A36" r:id="rId1" display="https://newibnet.org/tariffs-dashboard" xr:uid="{448FC0A1-7013-442D-A561-08C78EB7ED0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FB32-5953-4A65-90A8-0D52E39C69F5}">
  <sheetPr>
    <tabColor rgb="FFC00000"/>
  </sheetPr>
  <dimension ref="A1:P51"/>
  <sheetViews>
    <sheetView showGridLines="0" zoomScale="90" zoomScaleNormal="90" workbookViewId="0">
      <selection activeCell="M20" sqref="M20"/>
    </sheetView>
  </sheetViews>
  <sheetFormatPr defaultRowHeight="14.25" x14ac:dyDescent="0.45"/>
  <cols>
    <col min="1" max="1" width="15.3984375" customWidth="1"/>
    <col min="2" max="2" width="15.1328125" customWidth="1"/>
    <col min="3" max="14" width="9.33203125" customWidth="1"/>
    <col min="16" max="16" width="11.796875" customWidth="1"/>
  </cols>
  <sheetData>
    <row r="1" spans="1:16" ht="18" x14ac:dyDescent="0.55000000000000004">
      <c r="A1" s="62" t="s">
        <v>219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ht="18" x14ac:dyDescent="0.55000000000000004">
      <c r="A2" s="62"/>
      <c r="B2" s="62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1:16" x14ac:dyDescent="0.45">
      <c r="A3" s="2" t="s">
        <v>329</v>
      </c>
      <c r="K3" s="16" t="s">
        <v>165</v>
      </c>
      <c r="L3" s="228">
        <f>J12*I12*H12+H13*I13*J13+H14*I14*J14+H15*I15*J15+H16*I16*J16+H17*I17*J17+H18*I18*J18+H19*I19*J19+H20*I20*J20+H21*I21*J21+H22*I22*J22</f>
        <v>92441.329595514544</v>
      </c>
    </row>
    <row r="4" spans="1:16" x14ac:dyDescent="0.45">
      <c r="A4" s="276" t="s">
        <v>221</v>
      </c>
      <c r="B4" s="276"/>
      <c r="E4" s="66">
        <v>3.1</v>
      </c>
    </row>
    <row r="5" spans="1:16" ht="14.25" customHeight="1" x14ac:dyDescent="0.45">
      <c r="A5" s="189" t="s">
        <v>247</v>
      </c>
      <c r="B5" s="189"/>
      <c r="E5" s="66">
        <v>8</v>
      </c>
    </row>
    <row r="6" spans="1:16" ht="28.5" x14ac:dyDescent="0.45">
      <c r="A6" s="189" t="s">
        <v>248</v>
      </c>
      <c r="B6" s="189"/>
      <c r="E6" s="66">
        <v>1.2</v>
      </c>
      <c r="K6" s="16" t="s">
        <v>415</v>
      </c>
      <c r="L6" s="229">
        <f>H12*J12+H13*J13+H14*J14+H15*J15+H16*J16+H17*J17+H18*J18+H19*J19+H20*J20+H21*J21+H22*J22</f>
        <v>3081.3776531838184</v>
      </c>
      <c r="M6" t="s">
        <v>418</v>
      </c>
    </row>
    <row r="7" spans="1:16" ht="14.25" customHeight="1" x14ac:dyDescent="0.45">
      <c r="A7" s="189" t="s">
        <v>234</v>
      </c>
      <c r="B7" s="189"/>
      <c r="E7" s="114">
        <v>0.15</v>
      </c>
    </row>
    <row r="8" spans="1:16" x14ac:dyDescent="0.45">
      <c r="A8" s="189"/>
      <c r="B8" s="189"/>
      <c r="C8" s="114"/>
      <c r="D8" s="86"/>
    </row>
    <row r="9" spans="1:16" ht="14.25" customHeight="1" x14ac:dyDescent="0.45">
      <c r="C9" s="275" t="s">
        <v>206</v>
      </c>
      <c r="D9" s="275" t="s">
        <v>312</v>
      </c>
      <c r="E9" s="275" t="s">
        <v>313</v>
      </c>
      <c r="F9" s="275" t="s">
        <v>207</v>
      </c>
      <c r="G9" s="275" t="s">
        <v>280</v>
      </c>
      <c r="H9" s="275" t="s">
        <v>208</v>
      </c>
      <c r="I9" s="275" t="s">
        <v>417</v>
      </c>
      <c r="L9" s="275" t="s">
        <v>416</v>
      </c>
      <c r="M9" t="s">
        <v>223</v>
      </c>
    </row>
    <row r="10" spans="1:16" x14ac:dyDescent="0.45">
      <c r="C10" s="275"/>
      <c r="D10" s="275"/>
      <c r="E10" s="275"/>
      <c r="F10" s="275"/>
      <c r="G10" s="275"/>
      <c r="H10" s="275"/>
      <c r="I10" s="275"/>
      <c r="L10" s="275"/>
      <c r="M10" s="105">
        <f>TOTAL_AREA</f>
        <v>1000</v>
      </c>
    </row>
    <row r="11" spans="1:16" ht="27.4" customHeight="1" thickBot="1" x14ac:dyDescent="0.5">
      <c r="A11" s="107" t="s">
        <v>17</v>
      </c>
      <c r="B11" s="107"/>
      <c r="C11" s="275"/>
      <c r="D11" s="275"/>
      <c r="E11" s="275"/>
      <c r="F11" s="275"/>
      <c r="G11" s="275"/>
      <c r="H11" s="275"/>
      <c r="I11" s="275" t="s">
        <v>414</v>
      </c>
      <c r="J11" s="33" t="s">
        <v>419</v>
      </c>
      <c r="L11" s="275" t="s">
        <v>414</v>
      </c>
      <c r="M11" t="s">
        <v>235</v>
      </c>
      <c r="N11" t="s">
        <v>236</v>
      </c>
      <c r="P11" s="29" t="s">
        <v>237</v>
      </c>
    </row>
    <row r="12" spans="1:16" ht="14.65" thickTop="1" x14ac:dyDescent="0.45">
      <c r="A12" t="s">
        <v>209</v>
      </c>
      <c r="B12" s="85"/>
      <c r="C12" s="66">
        <v>365</v>
      </c>
      <c r="D12" s="66">
        <v>3.9</v>
      </c>
      <c r="E12" s="66">
        <v>10</v>
      </c>
      <c r="F12" s="105">
        <f t="shared" ref="F12:F22" si="0">365/C12</f>
        <v>1</v>
      </c>
      <c r="G12" s="105">
        <f t="shared" ref="G12:G22" si="1">E12*D12</f>
        <v>39</v>
      </c>
      <c r="H12" s="105">
        <f t="shared" ref="H12:H22" si="2">F12*E12*D12</f>
        <v>39</v>
      </c>
      <c r="I12" s="105">
        <f>VLOOKUP(A12,$A$37:$C$51,3,0)</f>
        <v>3</v>
      </c>
      <c r="J12" s="223">
        <v>0</v>
      </c>
      <c r="M12" s="105">
        <f>M10*(1-E7)</f>
        <v>850</v>
      </c>
      <c r="N12" s="105">
        <f>M12-N14</f>
        <v>770.34441329595518</v>
      </c>
      <c r="O12" s="78">
        <f>N12/M12</f>
        <v>0.90628754505406495</v>
      </c>
      <c r="P12" s="115">
        <f>N12*H12</f>
        <v>30043.432118542252</v>
      </c>
    </row>
    <row r="13" spans="1:16" x14ac:dyDescent="0.45">
      <c r="A13" t="s">
        <v>20</v>
      </c>
      <c r="B13" s="85" t="s">
        <v>406</v>
      </c>
      <c r="C13" s="66">
        <v>35</v>
      </c>
      <c r="D13" s="66">
        <v>25</v>
      </c>
      <c r="E13" s="170">
        <v>0.2</v>
      </c>
      <c r="F13" s="105">
        <f t="shared" si="0"/>
        <v>10.428571428571429</v>
      </c>
      <c r="G13" s="105">
        <f t="shared" si="1"/>
        <v>5</v>
      </c>
      <c r="H13" s="105">
        <f t="shared" si="2"/>
        <v>52.142857142857146</v>
      </c>
      <c r="I13" s="105">
        <f t="shared" ref="I13:I22" si="3">VLOOKUP(A13,$A$37:$C$51,3,0)</f>
        <v>5</v>
      </c>
      <c r="J13" s="223">
        <v>0</v>
      </c>
      <c r="N13" t="s">
        <v>231</v>
      </c>
    </row>
    <row r="14" spans="1:16" x14ac:dyDescent="0.45">
      <c r="A14" t="s">
        <v>397</v>
      </c>
      <c r="B14" s="85" t="s">
        <v>407</v>
      </c>
      <c r="C14" s="66">
        <v>28</v>
      </c>
      <c r="D14" s="66">
        <v>16</v>
      </c>
      <c r="E14" s="170">
        <v>0.13231999999999999</v>
      </c>
      <c r="F14" s="105">
        <f t="shared" si="0"/>
        <v>13.035714285714286</v>
      </c>
      <c r="G14" s="105">
        <f t="shared" si="1"/>
        <v>2.1171199999999999</v>
      </c>
      <c r="H14" s="105">
        <f t="shared" si="2"/>
        <v>27.59817142857143</v>
      </c>
      <c r="I14" s="105">
        <f t="shared" si="3"/>
        <v>10</v>
      </c>
      <c r="J14" s="223">
        <v>0</v>
      </c>
      <c r="N14" s="105">
        <f>M12/(1+E4*H25/H12)</f>
        <v>79.655586704044865</v>
      </c>
      <c r="O14" s="78">
        <f>N14/M12</f>
        <v>9.3712454945935136E-2</v>
      </c>
      <c r="P14" s="115">
        <f>N14*H25</f>
        <v>9691.4297156587909</v>
      </c>
    </row>
    <row r="15" spans="1:16" x14ac:dyDescent="0.45">
      <c r="A15" t="s">
        <v>398</v>
      </c>
      <c r="B15" s="85" t="s">
        <v>407</v>
      </c>
      <c r="C15" s="66">
        <v>28</v>
      </c>
      <c r="D15" s="66">
        <v>16</v>
      </c>
      <c r="E15" s="170">
        <v>9.8159999999999997E-2</v>
      </c>
      <c r="F15" s="105">
        <f t="shared" si="0"/>
        <v>13.035714285714286</v>
      </c>
      <c r="G15" s="105">
        <f t="shared" si="1"/>
        <v>1.57056</v>
      </c>
      <c r="H15" s="105">
        <f t="shared" si="2"/>
        <v>20.473371428571429</v>
      </c>
      <c r="I15" s="105">
        <f t="shared" si="3"/>
        <v>10</v>
      </c>
      <c r="J15" s="223">
        <v>0</v>
      </c>
      <c r="N15" t="s">
        <v>232</v>
      </c>
    </row>
    <row r="16" spans="1:16" x14ac:dyDescent="0.45">
      <c r="A16" t="s">
        <v>399</v>
      </c>
      <c r="B16" s="85" t="s">
        <v>407</v>
      </c>
      <c r="C16" s="66">
        <v>28</v>
      </c>
      <c r="D16" s="66">
        <v>16</v>
      </c>
      <c r="E16" s="170">
        <v>0.11576</v>
      </c>
      <c r="F16" s="105">
        <f t="shared" si="0"/>
        <v>13.035714285714286</v>
      </c>
      <c r="G16" s="105">
        <f t="shared" si="1"/>
        <v>1.85216</v>
      </c>
      <c r="H16" s="105">
        <f t="shared" si="2"/>
        <v>24.144228571428574</v>
      </c>
      <c r="I16" s="105">
        <f t="shared" si="3"/>
        <v>10</v>
      </c>
      <c r="J16" s="223">
        <v>0</v>
      </c>
      <c r="N16" s="105">
        <f>N14/E6</f>
        <v>66.379655586704061</v>
      </c>
      <c r="O16" s="105">
        <f>ROUND(N14/E5,0)</f>
        <v>10</v>
      </c>
      <c r="P16" t="s">
        <v>233</v>
      </c>
    </row>
    <row r="17" spans="1:10" x14ac:dyDescent="0.45">
      <c r="A17" t="s">
        <v>400</v>
      </c>
      <c r="B17" s="85" t="s">
        <v>408</v>
      </c>
      <c r="C17" s="66">
        <v>28</v>
      </c>
      <c r="D17" s="66">
        <v>16</v>
      </c>
      <c r="E17" s="170">
        <v>7.8719999999999998E-2</v>
      </c>
      <c r="F17" s="105">
        <f t="shared" si="0"/>
        <v>13.035714285714286</v>
      </c>
      <c r="G17" s="105">
        <f t="shared" si="1"/>
        <v>1.25952</v>
      </c>
      <c r="H17" s="105">
        <f t="shared" si="2"/>
        <v>16.418742857142856</v>
      </c>
      <c r="I17" s="105">
        <f t="shared" si="3"/>
        <v>15</v>
      </c>
      <c r="J17" s="223">
        <v>0</v>
      </c>
    </row>
    <row r="18" spans="1:10" x14ac:dyDescent="0.45">
      <c r="A18" t="s">
        <v>401</v>
      </c>
      <c r="B18" s="85" t="s">
        <v>406</v>
      </c>
      <c r="C18" s="66">
        <v>28</v>
      </c>
      <c r="D18" s="66">
        <v>16</v>
      </c>
      <c r="E18" s="170">
        <v>7.8719999999999998E-2</v>
      </c>
      <c r="F18" s="105">
        <f t="shared" si="0"/>
        <v>13.035714285714286</v>
      </c>
      <c r="G18" s="105">
        <f t="shared" si="1"/>
        <v>1.25952</v>
      </c>
      <c r="H18" s="105">
        <f t="shared" si="2"/>
        <v>16.418742857142856</v>
      </c>
      <c r="I18" s="105">
        <f t="shared" si="3"/>
        <v>5</v>
      </c>
      <c r="J18" s="223">
        <v>0</v>
      </c>
    </row>
    <row r="19" spans="1:10" x14ac:dyDescent="0.45">
      <c r="A19" t="s">
        <v>402</v>
      </c>
      <c r="B19" s="85" t="s">
        <v>411</v>
      </c>
      <c r="C19" s="66">
        <v>28</v>
      </c>
      <c r="D19" s="66">
        <v>16</v>
      </c>
      <c r="E19" s="170">
        <v>3.5869999999999999E-2</v>
      </c>
      <c r="F19" s="105">
        <f t="shared" si="0"/>
        <v>13.035714285714286</v>
      </c>
      <c r="G19" s="105">
        <f t="shared" si="1"/>
        <v>0.57391999999999999</v>
      </c>
      <c r="H19" s="105">
        <f t="shared" si="2"/>
        <v>7.4814571428571428</v>
      </c>
      <c r="I19" s="105">
        <f t="shared" si="3"/>
        <v>15</v>
      </c>
      <c r="J19" s="223">
        <v>0</v>
      </c>
    </row>
    <row r="20" spans="1:10" x14ac:dyDescent="0.45">
      <c r="A20" t="s">
        <v>403</v>
      </c>
      <c r="B20" s="85" t="s">
        <v>409</v>
      </c>
      <c r="C20" s="66">
        <v>28</v>
      </c>
      <c r="D20" s="66">
        <v>16</v>
      </c>
      <c r="E20" s="170">
        <v>4.206E-2</v>
      </c>
      <c r="F20" s="105">
        <f t="shared" si="0"/>
        <v>13.035714285714286</v>
      </c>
      <c r="G20" s="105">
        <f t="shared" si="1"/>
        <v>0.67296</v>
      </c>
      <c r="H20" s="105">
        <f t="shared" si="2"/>
        <v>8.772514285714287</v>
      </c>
      <c r="I20" s="105">
        <f t="shared" si="3"/>
        <v>30</v>
      </c>
      <c r="J20" s="223">
        <v>351.25364893411768</v>
      </c>
    </row>
    <row r="21" spans="1:10" x14ac:dyDescent="0.45">
      <c r="A21" t="s">
        <v>404</v>
      </c>
      <c r="B21" s="85" t="s">
        <v>410</v>
      </c>
      <c r="C21" s="66">
        <v>28</v>
      </c>
      <c r="D21" s="66">
        <v>16</v>
      </c>
      <c r="E21" s="170">
        <v>7.3689999999999992E-2</v>
      </c>
      <c r="F21" s="105">
        <f t="shared" si="0"/>
        <v>13.035714285714286</v>
      </c>
      <c r="G21" s="105">
        <f t="shared" si="1"/>
        <v>1.1790399999999999</v>
      </c>
      <c r="H21" s="105">
        <f t="shared" si="2"/>
        <v>15.369628571428571</v>
      </c>
      <c r="I21" s="105">
        <f t="shared" si="3"/>
        <v>15</v>
      </c>
      <c r="J21" s="223">
        <v>0</v>
      </c>
    </row>
    <row r="22" spans="1:10" x14ac:dyDescent="0.45">
      <c r="A22" t="s">
        <v>405</v>
      </c>
      <c r="B22" s="85" t="s">
        <v>412</v>
      </c>
      <c r="C22" s="66">
        <v>28</v>
      </c>
      <c r="D22" s="66">
        <v>16</v>
      </c>
      <c r="E22" s="170">
        <v>2.5250000000000002E-2</v>
      </c>
      <c r="F22" s="105">
        <f t="shared" si="0"/>
        <v>13.035714285714286</v>
      </c>
      <c r="G22" s="105">
        <f t="shared" si="1"/>
        <v>0.40400000000000003</v>
      </c>
      <c r="H22" s="105">
        <f t="shared" si="2"/>
        <v>5.2664285714285723</v>
      </c>
      <c r="I22" s="105">
        <f t="shared" si="3"/>
        <v>12</v>
      </c>
      <c r="J22" s="223">
        <v>0</v>
      </c>
    </row>
    <row r="24" spans="1:10" x14ac:dyDescent="0.45">
      <c r="A24" s="85" t="s">
        <v>215</v>
      </c>
      <c r="B24" s="85"/>
    </row>
    <row r="25" spans="1:10" x14ac:dyDescent="0.45">
      <c r="A25" s="105" t="str">
        <f>CHOSEN_FISH</f>
        <v>Tilapia</v>
      </c>
      <c r="B25" s="105"/>
      <c r="C25" s="105">
        <f>VLOOKUP($A25,$A$30:$E$33,COLUMN(),0)</f>
        <v>180</v>
      </c>
      <c r="D25" s="105">
        <f>VLOOKUP($A25,$A$30:$E$33,COLUMN(),0)</f>
        <v>100</v>
      </c>
      <c r="E25" s="105">
        <f>VLOOKUP($A25,$A$30:$E$33,COLUMN(),0)</f>
        <v>0.6</v>
      </c>
      <c r="F25" s="105">
        <f>365/C25</f>
        <v>2.0277777777777777</v>
      </c>
      <c r="G25" s="105">
        <f>E25*D25</f>
        <v>60</v>
      </c>
      <c r="H25" s="105">
        <f>F25*E25*D25</f>
        <v>121.66666666666666</v>
      </c>
    </row>
    <row r="26" spans="1:10" x14ac:dyDescent="0.45">
      <c r="E26" s="110"/>
    </row>
    <row r="27" spans="1:10" x14ac:dyDescent="0.45">
      <c r="A27" s="189"/>
      <c r="B27" s="189"/>
      <c r="C27" s="114"/>
      <c r="D27" s="86"/>
    </row>
    <row r="28" spans="1:10" x14ac:dyDescent="0.45">
      <c r="C28" s="66"/>
      <c r="D28" s="66"/>
      <c r="E28" s="66"/>
    </row>
    <row r="29" spans="1:10" ht="14.65" thickBot="1" x14ac:dyDescent="0.5">
      <c r="A29" s="107" t="s">
        <v>218</v>
      </c>
      <c r="B29" s="107"/>
      <c r="C29" s="108"/>
      <c r="D29" s="108"/>
      <c r="E29" s="108"/>
    </row>
    <row r="30" spans="1:10" ht="14.65" thickTop="1" x14ac:dyDescent="0.45">
      <c r="A30" t="s">
        <v>19</v>
      </c>
      <c r="C30" s="98">
        <v>180</v>
      </c>
      <c r="D30" s="66">
        <v>100</v>
      </c>
      <c r="E30" s="66">
        <v>0.6</v>
      </c>
    </row>
    <row r="31" spans="1:10" x14ac:dyDescent="0.45">
      <c r="A31" t="s">
        <v>135</v>
      </c>
      <c r="C31" s="98">
        <v>365</v>
      </c>
      <c r="D31" s="98">
        <v>22</v>
      </c>
      <c r="E31" s="171">
        <v>0.5</v>
      </c>
    </row>
    <row r="32" spans="1:10" x14ac:dyDescent="0.45">
      <c r="C32" s="5"/>
      <c r="D32" s="5"/>
      <c r="E32" s="5"/>
    </row>
    <row r="33" spans="1:6" ht="14.65" thickBot="1" x14ac:dyDescent="0.5">
      <c r="A33" s="107" t="s">
        <v>36</v>
      </c>
      <c r="B33" s="107"/>
      <c r="C33" s="108"/>
      <c r="D33" s="108"/>
      <c r="E33" s="108"/>
    </row>
    <row r="34" spans="1:6" ht="14.65" thickTop="1" x14ac:dyDescent="0.45">
      <c r="A34" t="s">
        <v>310</v>
      </c>
      <c r="C34" s="98"/>
      <c r="D34" s="66"/>
      <c r="E34" s="66"/>
    </row>
    <row r="35" spans="1:6" x14ac:dyDescent="0.45">
      <c r="C35" s="98"/>
      <c r="D35" s="66"/>
      <c r="E35" s="66"/>
      <c r="F35" s="66"/>
    </row>
    <row r="36" spans="1:6" ht="14.65" thickBot="1" x14ac:dyDescent="0.5">
      <c r="A36" s="107" t="s">
        <v>17</v>
      </c>
      <c r="B36" s="119"/>
      <c r="C36" s="119" t="s">
        <v>240</v>
      </c>
    </row>
    <row r="37" spans="1:6" ht="14.65" thickTop="1" x14ac:dyDescent="0.45">
      <c r="A37" t="s">
        <v>209</v>
      </c>
      <c r="B37" s="116"/>
      <c r="C37" s="116">
        <v>3</v>
      </c>
    </row>
    <row r="38" spans="1:6" x14ac:dyDescent="0.45">
      <c r="A38" t="s">
        <v>20</v>
      </c>
      <c r="B38" s="85" t="s">
        <v>406</v>
      </c>
      <c r="C38" s="116">
        <v>5</v>
      </c>
    </row>
    <row r="39" spans="1:6" x14ac:dyDescent="0.45">
      <c r="A39" t="s">
        <v>397</v>
      </c>
      <c r="B39" s="85" t="s">
        <v>407</v>
      </c>
      <c r="C39" s="116">
        <v>10</v>
      </c>
    </row>
    <row r="40" spans="1:6" x14ac:dyDescent="0.45">
      <c r="A40" t="s">
        <v>398</v>
      </c>
      <c r="B40" s="85" t="s">
        <v>407</v>
      </c>
      <c r="C40" s="116">
        <v>10</v>
      </c>
    </row>
    <row r="41" spans="1:6" x14ac:dyDescent="0.45">
      <c r="A41" t="s">
        <v>399</v>
      </c>
      <c r="B41" s="85" t="s">
        <v>407</v>
      </c>
      <c r="C41" s="116">
        <v>10</v>
      </c>
    </row>
    <row r="42" spans="1:6" x14ac:dyDescent="0.45">
      <c r="A42" t="s">
        <v>400</v>
      </c>
      <c r="B42" s="85" t="s">
        <v>408</v>
      </c>
      <c r="C42" s="116">
        <v>15</v>
      </c>
    </row>
    <row r="43" spans="1:6" x14ac:dyDescent="0.45">
      <c r="A43" t="s">
        <v>401</v>
      </c>
      <c r="B43" s="85" t="s">
        <v>406</v>
      </c>
      <c r="C43" s="116">
        <v>5</v>
      </c>
    </row>
    <row r="44" spans="1:6" x14ac:dyDescent="0.45">
      <c r="A44" t="s">
        <v>402</v>
      </c>
      <c r="B44" s="85" t="s">
        <v>411</v>
      </c>
      <c r="C44" s="116">
        <v>15</v>
      </c>
    </row>
    <row r="45" spans="1:6" x14ac:dyDescent="0.45">
      <c r="A45" t="s">
        <v>403</v>
      </c>
      <c r="B45" s="85" t="s">
        <v>409</v>
      </c>
      <c r="C45" s="116">
        <v>30</v>
      </c>
    </row>
    <row r="46" spans="1:6" x14ac:dyDescent="0.45">
      <c r="A46" t="s">
        <v>404</v>
      </c>
      <c r="B46" s="85" t="s">
        <v>410</v>
      </c>
      <c r="C46" s="120">
        <v>15</v>
      </c>
    </row>
    <row r="47" spans="1:6" x14ac:dyDescent="0.45">
      <c r="A47" t="s">
        <v>405</v>
      </c>
      <c r="B47" s="85" t="s">
        <v>412</v>
      </c>
      <c r="C47" s="120">
        <v>12</v>
      </c>
    </row>
    <row r="48" spans="1:6" x14ac:dyDescent="0.45">
      <c r="B48" s="85"/>
      <c r="C48" s="120"/>
    </row>
    <row r="49" spans="1:3" ht="14.65" thickBot="1" x14ac:dyDescent="0.5">
      <c r="A49" s="107" t="s">
        <v>218</v>
      </c>
      <c r="B49" s="121"/>
      <c r="C49" s="119" t="s">
        <v>240</v>
      </c>
    </row>
    <row r="50" spans="1:3" ht="14.65" thickTop="1" x14ac:dyDescent="0.45">
      <c r="A50" t="s">
        <v>19</v>
      </c>
      <c r="B50" s="120"/>
      <c r="C50" s="120">
        <v>17</v>
      </c>
    </row>
    <row r="51" spans="1:3" x14ac:dyDescent="0.45">
      <c r="A51" t="s">
        <v>135</v>
      </c>
      <c r="B51" s="120"/>
      <c r="C51" s="120">
        <v>34</v>
      </c>
    </row>
  </sheetData>
  <mergeCells count="9">
    <mergeCell ref="A4:B4"/>
    <mergeCell ref="C9:C11"/>
    <mergeCell ref="D9:D11"/>
    <mergeCell ref="E9:E11"/>
    <mergeCell ref="L9:L11"/>
    <mergeCell ref="F9:F11"/>
    <mergeCell ref="G9:G11"/>
    <mergeCell ref="H9:H11"/>
    <mergeCell ref="I9:I1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E8DF-0A73-4148-87AE-9000F30BE303}">
  <sheetPr>
    <tabColor theme="5"/>
  </sheetPr>
  <dimension ref="A1:G19"/>
  <sheetViews>
    <sheetView workbookViewId="0"/>
  </sheetViews>
  <sheetFormatPr defaultRowHeight="14.25" x14ac:dyDescent="0.45"/>
  <sheetData>
    <row r="1" spans="1:7" ht="15.75" x14ac:dyDescent="0.5">
      <c r="A1" s="267" t="s">
        <v>292</v>
      </c>
      <c r="B1" s="181" t="s">
        <v>293</v>
      </c>
      <c r="C1" s="181"/>
      <c r="D1" s="181"/>
      <c r="E1" s="181"/>
      <c r="F1" s="181"/>
      <c r="G1" s="181"/>
    </row>
    <row r="2" spans="1:7" ht="15.75" x14ac:dyDescent="0.5">
      <c r="A2" s="181" t="s">
        <v>294</v>
      </c>
      <c r="B2" s="181" t="s">
        <v>295</v>
      </c>
      <c r="C2" s="181"/>
      <c r="D2" s="181"/>
      <c r="E2" s="181"/>
      <c r="F2" s="181"/>
      <c r="G2" s="181"/>
    </row>
    <row r="3" spans="1:7" ht="15.75" x14ac:dyDescent="0.5">
      <c r="A3" s="181" t="s">
        <v>296</v>
      </c>
      <c r="B3" s="181"/>
      <c r="C3" s="181"/>
      <c r="D3" s="181"/>
      <c r="E3" s="181"/>
      <c r="F3" s="181"/>
      <c r="G3" s="181"/>
    </row>
    <row r="4" spans="1:7" ht="15.75" x14ac:dyDescent="0.5">
      <c r="A4" s="181" t="s">
        <v>297</v>
      </c>
      <c r="B4" s="181" t="s">
        <v>298</v>
      </c>
      <c r="C4" s="181"/>
      <c r="D4" s="181"/>
      <c r="E4" s="181"/>
      <c r="F4" s="181"/>
      <c r="G4" s="181"/>
    </row>
    <row r="5" spans="1:7" ht="15.75" x14ac:dyDescent="0.5">
      <c r="A5" s="181"/>
      <c r="B5" s="181"/>
      <c r="C5" s="181"/>
      <c r="D5" s="181"/>
      <c r="E5" s="181"/>
      <c r="F5" s="181"/>
      <c r="G5" s="181"/>
    </row>
    <row r="6" spans="1:7" ht="15.75" x14ac:dyDescent="0.5">
      <c r="A6" s="181" t="s">
        <v>299</v>
      </c>
      <c r="B6" s="181" t="s">
        <v>300</v>
      </c>
      <c r="C6" s="181" t="s">
        <v>301</v>
      </c>
      <c r="D6" s="181" t="s">
        <v>302</v>
      </c>
      <c r="E6" s="181" t="s">
        <v>291</v>
      </c>
      <c r="F6" s="181" t="s">
        <v>303</v>
      </c>
      <c r="G6" s="181" t="s">
        <v>304</v>
      </c>
    </row>
    <row r="7" spans="1:7" ht="15.75" x14ac:dyDescent="0.5">
      <c r="A7" s="181" t="s">
        <v>68</v>
      </c>
      <c r="B7" s="181">
        <v>31.6</v>
      </c>
      <c r="C7" s="181">
        <v>26.6</v>
      </c>
      <c r="D7" s="181">
        <v>21.7</v>
      </c>
      <c r="E7" s="181">
        <v>122</v>
      </c>
      <c r="F7" s="181">
        <v>160</v>
      </c>
      <c r="G7" s="181">
        <v>38.299999999999997</v>
      </c>
    </row>
    <row r="8" spans="1:7" ht="15.75" x14ac:dyDescent="0.5">
      <c r="A8" s="181" t="s">
        <v>69</v>
      </c>
      <c r="B8" s="181">
        <v>30.6</v>
      </c>
      <c r="C8" s="181">
        <v>26.3</v>
      </c>
      <c r="D8" s="181">
        <v>21.9</v>
      </c>
      <c r="E8" s="181">
        <v>139</v>
      </c>
      <c r="F8" s="181">
        <v>149</v>
      </c>
      <c r="G8" s="181">
        <v>10</v>
      </c>
    </row>
    <row r="9" spans="1:7" ht="15.75" x14ac:dyDescent="0.5">
      <c r="A9" s="181" t="s">
        <v>70</v>
      </c>
      <c r="B9" s="181">
        <v>31.5</v>
      </c>
      <c r="C9" s="181">
        <v>26.8</v>
      </c>
      <c r="D9" s="181">
        <v>22</v>
      </c>
      <c r="E9" s="181">
        <v>117</v>
      </c>
      <c r="F9" s="181">
        <v>151</v>
      </c>
      <c r="G9" s="181">
        <v>34</v>
      </c>
    </row>
    <row r="10" spans="1:7" ht="15.75" x14ac:dyDescent="0.5">
      <c r="A10" s="181" t="s">
        <v>71</v>
      </c>
      <c r="B10" s="181">
        <v>30.7</v>
      </c>
      <c r="C10" s="181">
        <v>25.7</v>
      </c>
      <c r="D10" s="181">
        <v>20.7</v>
      </c>
      <c r="E10" s="181">
        <v>71</v>
      </c>
      <c r="F10" s="181">
        <v>126</v>
      </c>
      <c r="G10" s="181">
        <v>54.5</v>
      </c>
    </row>
    <row r="11" spans="1:7" ht="15.75" x14ac:dyDescent="0.5">
      <c r="A11" s="181" t="s">
        <v>305</v>
      </c>
      <c r="B11" s="181">
        <v>28.9</v>
      </c>
      <c r="C11" s="181">
        <v>23.3</v>
      </c>
      <c r="D11" s="181">
        <v>17.8</v>
      </c>
      <c r="E11" s="181">
        <v>14</v>
      </c>
      <c r="F11" s="181">
        <v>121</v>
      </c>
      <c r="G11" s="181">
        <v>106.5</v>
      </c>
    </row>
    <row r="12" spans="1:7" ht="15.75" x14ac:dyDescent="0.5">
      <c r="A12" s="181" t="s">
        <v>72</v>
      </c>
      <c r="B12" s="181">
        <v>26.9</v>
      </c>
      <c r="C12" s="181">
        <v>21.4</v>
      </c>
      <c r="D12" s="181">
        <v>15.9</v>
      </c>
      <c r="E12" s="181">
        <v>63</v>
      </c>
      <c r="F12" s="181">
        <v>113</v>
      </c>
      <c r="G12" s="181">
        <v>49.3</v>
      </c>
    </row>
    <row r="13" spans="1:7" ht="15.75" x14ac:dyDescent="0.5">
      <c r="A13" s="181" t="s">
        <v>73</v>
      </c>
      <c r="B13" s="181">
        <v>29</v>
      </c>
      <c r="C13" s="181">
        <v>22.5</v>
      </c>
      <c r="D13" s="181">
        <v>16.100000000000001</v>
      </c>
      <c r="E13" s="181">
        <v>4</v>
      </c>
      <c r="F13" s="181">
        <v>127</v>
      </c>
      <c r="G13" s="181">
        <v>123.5</v>
      </c>
    </row>
    <row r="14" spans="1:7" ht="15.75" x14ac:dyDescent="0.5">
      <c r="A14" s="181" t="s">
        <v>74</v>
      </c>
      <c r="B14" s="181">
        <v>30.9</v>
      </c>
      <c r="C14" s="181">
        <v>24.2</v>
      </c>
      <c r="D14" s="181">
        <v>17.399999999999999</v>
      </c>
      <c r="E14" s="181">
        <v>11</v>
      </c>
      <c r="F14" s="181">
        <v>161</v>
      </c>
      <c r="G14" s="181">
        <v>149.9</v>
      </c>
    </row>
    <row r="15" spans="1:7" ht="15.75" x14ac:dyDescent="0.5">
      <c r="A15" s="181" t="s">
        <v>75</v>
      </c>
      <c r="B15" s="181">
        <v>34.9</v>
      </c>
      <c r="C15" s="181">
        <v>28.2</v>
      </c>
      <c r="D15" s="181">
        <v>21.5</v>
      </c>
      <c r="E15" s="181">
        <v>42</v>
      </c>
      <c r="F15" s="181">
        <v>190</v>
      </c>
      <c r="G15" s="181">
        <v>147.69999999999999</v>
      </c>
    </row>
    <row r="16" spans="1:7" ht="15.75" x14ac:dyDescent="0.5">
      <c r="A16" s="181" t="s">
        <v>76</v>
      </c>
      <c r="B16" s="181">
        <v>33.200000000000003</v>
      </c>
      <c r="C16" s="181">
        <v>27.6</v>
      </c>
      <c r="D16" s="181">
        <v>22</v>
      </c>
      <c r="E16" s="181">
        <v>107</v>
      </c>
      <c r="F16" s="181">
        <v>180</v>
      </c>
      <c r="G16" s="181">
        <v>72.2</v>
      </c>
    </row>
    <row r="17" spans="1:7" ht="15.75" x14ac:dyDescent="0.5">
      <c r="A17" s="181" t="s">
        <v>77</v>
      </c>
      <c r="B17" s="181">
        <v>32.799999999999997</v>
      </c>
      <c r="C17" s="181">
        <v>27.2</v>
      </c>
      <c r="D17" s="181">
        <v>21.5</v>
      </c>
      <c r="E17" s="181">
        <v>152</v>
      </c>
      <c r="F17" s="181">
        <v>179</v>
      </c>
      <c r="G17" s="181">
        <v>27.1</v>
      </c>
    </row>
    <row r="18" spans="1:7" ht="15.75" x14ac:dyDescent="0.5">
      <c r="A18" s="181" t="s">
        <v>78</v>
      </c>
      <c r="B18" s="181">
        <v>31.9</v>
      </c>
      <c r="C18" s="181">
        <v>27.2</v>
      </c>
      <c r="D18" s="181">
        <v>22.4</v>
      </c>
      <c r="E18" s="181">
        <v>170</v>
      </c>
      <c r="F18" s="181">
        <v>159</v>
      </c>
      <c r="G18" s="181">
        <v>-10.9</v>
      </c>
    </row>
    <row r="19" spans="1:7" ht="15.75" x14ac:dyDescent="0.5">
      <c r="A19" s="181" t="s">
        <v>306</v>
      </c>
      <c r="B19" s="181" t="s">
        <v>307</v>
      </c>
      <c r="C19" s="181">
        <v>25.6</v>
      </c>
      <c r="D19" s="181" t="s">
        <v>307</v>
      </c>
      <c r="E19" s="181">
        <v>1013</v>
      </c>
      <c r="F19" s="181">
        <v>1815</v>
      </c>
      <c r="G19" s="181">
        <v>802.3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822F-21A3-40A1-8D67-0F14FA23C8F5}">
  <sheetPr>
    <tabColor theme="2" tint="-0.249977111117893"/>
  </sheetPr>
  <dimension ref="A1:G19"/>
  <sheetViews>
    <sheetView workbookViewId="0">
      <selection activeCell="G19" sqref="A1:G19"/>
    </sheetView>
  </sheetViews>
  <sheetFormatPr defaultRowHeight="15.75" x14ac:dyDescent="0.5"/>
  <cols>
    <col min="1" max="1" width="15.796875" style="181" customWidth="1"/>
    <col min="2" max="2" width="12.6640625" style="181" customWidth="1"/>
    <col min="3" max="3" width="12.6640625" style="181" bestFit="1" customWidth="1"/>
    <col min="4" max="4" width="11.3984375" style="181" bestFit="1" customWidth="1"/>
    <col min="5" max="5" width="16.6640625" style="181" bestFit="1" customWidth="1"/>
    <col min="6" max="6" width="8.53125" style="181" bestFit="1" customWidth="1"/>
    <col min="7" max="7" width="17.06640625" style="181" bestFit="1" customWidth="1"/>
    <col min="8" max="16384" width="9.06640625" style="181"/>
  </cols>
  <sheetData>
    <row r="1" spans="1:7" x14ac:dyDescent="0.5">
      <c r="A1" s="181" t="s">
        <v>292</v>
      </c>
      <c r="B1" s="181" t="s">
        <v>293</v>
      </c>
    </row>
    <row r="2" spans="1:7" x14ac:dyDescent="0.5">
      <c r="A2" s="181" t="s">
        <v>294</v>
      </c>
      <c r="B2" s="181" t="s">
        <v>295</v>
      </c>
    </row>
    <row r="3" spans="1:7" x14ac:dyDescent="0.5">
      <c r="A3" s="181" t="s">
        <v>296</v>
      </c>
    </row>
    <row r="4" spans="1:7" x14ac:dyDescent="0.5">
      <c r="A4" s="181" t="s">
        <v>297</v>
      </c>
      <c r="B4" s="181" t="s">
        <v>298</v>
      </c>
    </row>
    <row r="6" spans="1:7" x14ac:dyDescent="0.5">
      <c r="A6" s="181" t="s">
        <v>299</v>
      </c>
      <c r="B6" s="181" t="s">
        <v>300</v>
      </c>
      <c r="C6" s="181" t="s">
        <v>301</v>
      </c>
      <c r="D6" s="181" t="s">
        <v>302</v>
      </c>
      <c r="E6" s="181" t="s">
        <v>291</v>
      </c>
      <c r="F6" s="181" t="s">
        <v>303</v>
      </c>
      <c r="G6" s="181" t="s">
        <v>304</v>
      </c>
    </row>
    <row r="7" spans="1:7" x14ac:dyDescent="0.5">
      <c r="A7" s="181" t="s">
        <v>68</v>
      </c>
      <c r="B7" s="181">
        <v>31.6</v>
      </c>
      <c r="C7" s="181">
        <v>26.6</v>
      </c>
      <c r="D7" s="181">
        <v>21.7</v>
      </c>
      <c r="E7" s="181">
        <v>122</v>
      </c>
      <c r="F7" s="181">
        <v>160</v>
      </c>
      <c r="G7" s="181">
        <v>38.299999999999997</v>
      </c>
    </row>
    <row r="8" spans="1:7" x14ac:dyDescent="0.5">
      <c r="A8" s="181" t="s">
        <v>69</v>
      </c>
      <c r="B8" s="181">
        <v>30.6</v>
      </c>
      <c r="C8" s="181">
        <v>26.3</v>
      </c>
      <c r="D8" s="181">
        <v>21.9</v>
      </c>
      <c r="E8" s="181">
        <v>139</v>
      </c>
      <c r="F8" s="181">
        <v>149</v>
      </c>
      <c r="G8" s="181">
        <v>10</v>
      </c>
    </row>
    <row r="9" spans="1:7" x14ac:dyDescent="0.5">
      <c r="A9" s="181" t="s">
        <v>70</v>
      </c>
      <c r="B9" s="181">
        <v>31.5</v>
      </c>
      <c r="C9" s="181">
        <v>26.8</v>
      </c>
      <c r="D9" s="181">
        <v>22</v>
      </c>
      <c r="E9" s="181">
        <v>117</v>
      </c>
      <c r="F9" s="181">
        <v>151</v>
      </c>
      <c r="G9" s="181">
        <v>34</v>
      </c>
    </row>
    <row r="10" spans="1:7" x14ac:dyDescent="0.5">
      <c r="A10" s="181" t="s">
        <v>71</v>
      </c>
      <c r="B10" s="181">
        <v>30.7</v>
      </c>
      <c r="C10" s="181">
        <v>25.7</v>
      </c>
      <c r="D10" s="181">
        <v>20.7</v>
      </c>
      <c r="E10" s="181">
        <v>71</v>
      </c>
      <c r="F10" s="181">
        <v>126</v>
      </c>
      <c r="G10" s="181">
        <v>54.5</v>
      </c>
    </row>
    <row r="11" spans="1:7" x14ac:dyDescent="0.5">
      <c r="A11" s="181" t="s">
        <v>305</v>
      </c>
      <c r="B11" s="181">
        <v>28.9</v>
      </c>
      <c r="C11" s="181">
        <v>23.3</v>
      </c>
      <c r="D11" s="181">
        <v>17.8</v>
      </c>
      <c r="E11" s="181">
        <v>14</v>
      </c>
      <c r="F11" s="181">
        <v>121</v>
      </c>
      <c r="G11" s="181">
        <v>106.5</v>
      </c>
    </row>
    <row r="12" spans="1:7" x14ac:dyDescent="0.5">
      <c r="A12" s="181" t="s">
        <v>72</v>
      </c>
      <c r="B12" s="181">
        <v>26.9</v>
      </c>
      <c r="C12" s="181">
        <v>21.4</v>
      </c>
      <c r="D12" s="181">
        <v>15.9</v>
      </c>
      <c r="E12" s="181">
        <v>63</v>
      </c>
      <c r="F12" s="181">
        <v>113</v>
      </c>
      <c r="G12" s="181">
        <v>49.3</v>
      </c>
    </row>
    <row r="13" spans="1:7" x14ac:dyDescent="0.5">
      <c r="A13" s="181" t="s">
        <v>73</v>
      </c>
      <c r="B13" s="181">
        <v>29</v>
      </c>
      <c r="C13" s="181">
        <v>22.5</v>
      </c>
      <c r="D13" s="181">
        <v>16.100000000000001</v>
      </c>
      <c r="E13" s="181">
        <v>4</v>
      </c>
      <c r="F13" s="181">
        <v>127</v>
      </c>
      <c r="G13" s="181">
        <v>123.5</v>
      </c>
    </row>
    <row r="14" spans="1:7" x14ac:dyDescent="0.5">
      <c r="A14" s="181" t="s">
        <v>74</v>
      </c>
      <c r="B14" s="181">
        <v>30.9</v>
      </c>
      <c r="C14" s="181">
        <v>24.2</v>
      </c>
      <c r="D14" s="181">
        <v>17.399999999999999</v>
      </c>
      <c r="E14" s="181">
        <v>11</v>
      </c>
      <c r="F14" s="181">
        <v>161</v>
      </c>
      <c r="G14" s="181">
        <v>149.9</v>
      </c>
    </row>
    <row r="15" spans="1:7" x14ac:dyDescent="0.5">
      <c r="A15" s="181" t="s">
        <v>75</v>
      </c>
      <c r="B15" s="181">
        <v>34.9</v>
      </c>
      <c r="C15" s="181">
        <v>28.2</v>
      </c>
      <c r="D15" s="181">
        <v>21.5</v>
      </c>
      <c r="E15" s="181">
        <v>42</v>
      </c>
      <c r="F15" s="181">
        <v>190</v>
      </c>
      <c r="G15" s="181">
        <v>147.69999999999999</v>
      </c>
    </row>
    <row r="16" spans="1:7" x14ac:dyDescent="0.5">
      <c r="A16" s="181" t="s">
        <v>76</v>
      </c>
      <c r="B16" s="181">
        <v>33.200000000000003</v>
      </c>
      <c r="C16" s="181">
        <v>27.6</v>
      </c>
      <c r="D16" s="181">
        <v>22</v>
      </c>
      <c r="E16" s="181">
        <v>107</v>
      </c>
      <c r="F16" s="181">
        <v>180</v>
      </c>
      <c r="G16" s="181">
        <v>72.2</v>
      </c>
    </row>
    <row r="17" spans="1:7" x14ac:dyDescent="0.5">
      <c r="A17" s="181" t="s">
        <v>77</v>
      </c>
      <c r="B17" s="181">
        <v>32.799999999999997</v>
      </c>
      <c r="C17" s="181">
        <v>27.2</v>
      </c>
      <c r="D17" s="181">
        <v>21.5</v>
      </c>
      <c r="E17" s="181">
        <v>152</v>
      </c>
      <c r="F17" s="181">
        <v>179</v>
      </c>
      <c r="G17" s="181">
        <v>27.1</v>
      </c>
    </row>
    <row r="18" spans="1:7" x14ac:dyDescent="0.5">
      <c r="A18" s="181" t="s">
        <v>78</v>
      </c>
      <c r="B18" s="181">
        <v>31.9</v>
      </c>
      <c r="C18" s="181">
        <v>27.2</v>
      </c>
      <c r="D18" s="181">
        <v>22.4</v>
      </c>
      <c r="E18" s="181">
        <v>170</v>
      </c>
      <c r="F18" s="181">
        <v>159</v>
      </c>
      <c r="G18" s="181">
        <v>-10.9</v>
      </c>
    </row>
    <row r="19" spans="1:7" x14ac:dyDescent="0.5">
      <c r="A19" s="181" t="s">
        <v>306</v>
      </c>
      <c r="B19" s="181" t="s">
        <v>307</v>
      </c>
      <c r="C19" s="181">
        <v>25.6</v>
      </c>
      <c r="D19" s="181" t="s">
        <v>307</v>
      </c>
      <c r="E19" s="181">
        <v>1013</v>
      </c>
      <c r="F19" s="181">
        <v>1815</v>
      </c>
      <c r="G19" s="181">
        <v>802.3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17D0-9A48-4468-B266-2BB9FA11DBC1}">
  <sheetPr>
    <tabColor theme="1"/>
  </sheetPr>
  <dimension ref="A1:AF53"/>
  <sheetViews>
    <sheetView showGridLines="0" tabSelected="1" topLeftCell="N1" zoomScale="55" zoomScaleNormal="55" workbookViewId="0">
      <selection activeCell="Z8" sqref="Z8"/>
    </sheetView>
  </sheetViews>
  <sheetFormatPr defaultRowHeight="14.25" x14ac:dyDescent="0.45"/>
  <cols>
    <col min="2" max="2" width="20.265625" customWidth="1"/>
    <col min="3" max="3" width="27.73046875" customWidth="1"/>
    <col min="4" max="4" width="33.9296875" customWidth="1"/>
    <col min="6" max="6" width="20.33203125" customWidth="1"/>
    <col min="7" max="7" width="11.73046875" customWidth="1"/>
    <col min="8" max="8" width="26.73046875" customWidth="1"/>
    <col min="9" max="9" width="11.73046875" customWidth="1"/>
    <col min="10" max="10" width="23.46484375" style="5" customWidth="1"/>
    <col min="11" max="11" width="14.19921875" customWidth="1"/>
    <col min="12" max="12" width="20.1328125" style="5" customWidth="1"/>
    <col min="13" max="13" width="27.86328125" style="5" customWidth="1"/>
    <col min="14" max="14" width="22.6640625" customWidth="1"/>
    <col min="16" max="16" width="8" customWidth="1"/>
    <col min="17" max="17" width="10" customWidth="1"/>
    <col min="18" max="18" width="34.265625" bestFit="1" customWidth="1"/>
    <col min="19" max="19" width="22.33203125" bestFit="1" customWidth="1"/>
    <col min="20" max="30" width="17.19921875" customWidth="1"/>
    <col min="31" max="31" width="30.53125" customWidth="1"/>
    <col min="32" max="32" width="16.73046875" style="5" bestFit="1" customWidth="1"/>
    <col min="33" max="36" width="11.86328125" bestFit="1" customWidth="1"/>
  </cols>
  <sheetData>
    <row r="1" spans="8:32" ht="31.9" x14ac:dyDescent="1">
      <c r="K1" s="186" t="s">
        <v>396</v>
      </c>
      <c r="S1">
        <v>0</v>
      </c>
      <c r="T1">
        <v>1</v>
      </c>
      <c r="U1">
        <v>2</v>
      </c>
      <c r="V1">
        <v>3</v>
      </c>
      <c r="W1">
        <v>4</v>
      </c>
      <c r="X1">
        <v>5</v>
      </c>
      <c r="Y1">
        <v>6</v>
      </c>
      <c r="Z1">
        <v>7</v>
      </c>
      <c r="AA1">
        <v>8</v>
      </c>
      <c r="AB1">
        <v>9</v>
      </c>
      <c r="AC1">
        <v>10</v>
      </c>
    </row>
    <row r="2" spans="8:32" ht="18" x14ac:dyDescent="0.55000000000000004">
      <c r="S2" s="6" t="s">
        <v>39</v>
      </c>
      <c r="T2" s="7" t="s">
        <v>40</v>
      </c>
      <c r="U2" s="7" t="s">
        <v>41</v>
      </c>
      <c r="V2" s="7" t="s">
        <v>51</v>
      </c>
      <c r="W2" s="7" t="s">
        <v>52</v>
      </c>
      <c r="X2" s="7" t="s">
        <v>53</v>
      </c>
      <c r="Y2" s="7" t="s">
        <v>54</v>
      </c>
      <c r="Z2" s="7" t="s">
        <v>55</v>
      </c>
      <c r="AA2" s="7" t="s">
        <v>56</v>
      </c>
      <c r="AB2" s="7" t="s">
        <v>57</v>
      </c>
      <c r="AC2" s="7" t="s">
        <v>58</v>
      </c>
      <c r="AF2" s="7" t="s">
        <v>380</v>
      </c>
    </row>
    <row r="3" spans="8:32" ht="21" x14ac:dyDescent="0.65">
      <c r="H3" s="70" t="s">
        <v>197</v>
      </c>
      <c r="L3" s="61" t="s">
        <v>173</v>
      </c>
      <c r="P3" s="275" t="e" vm="1">
        <v>#VALUE!</v>
      </c>
      <c r="Q3" s="275"/>
      <c r="R3" s="233" t="s">
        <v>42</v>
      </c>
      <c r="S3" s="234">
        <v>0</v>
      </c>
      <c r="T3" s="234">
        <f>Revenues!J4</f>
        <v>329300.01742485893</v>
      </c>
      <c r="U3" s="234">
        <f>M26</f>
        <v>548833.36237476487</v>
      </c>
      <c r="V3" s="234">
        <f t="shared" ref="V3:AC3" si="0">U3</f>
        <v>548833.36237476487</v>
      </c>
      <c r="W3" s="234">
        <f t="shared" si="0"/>
        <v>548833.36237476487</v>
      </c>
      <c r="X3" s="234">
        <f t="shared" si="0"/>
        <v>548833.36237476487</v>
      </c>
      <c r="Y3" s="234">
        <f t="shared" si="0"/>
        <v>548833.36237476487</v>
      </c>
      <c r="Z3" s="234">
        <f t="shared" si="0"/>
        <v>548833.36237476487</v>
      </c>
      <c r="AA3" s="234">
        <f t="shared" si="0"/>
        <v>548833.36237476487</v>
      </c>
      <c r="AB3" s="234">
        <f t="shared" si="0"/>
        <v>548833.36237476487</v>
      </c>
      <c r="AC3" s="234">
        <f t="shared" si="0"/>
        <v>548833.36237476487</v>
      </c>
      <c r="AE3" s="8" t="s">
        <v>42</v>
      </c>
      <c r="AF3" s="205">
        <f>AC3</f>
        <v>548833.36237476487</v>
      </c>
    </row>
    <row r="4" spans="8:32" x14ac:dyDescent="0.45">
      <c r="H4" s="72" t="s">
        <v>198</v>
      </c>
      <c r="M4" s="5" t="s">
        <v>175</v>
      </c>
      <c r="P4" s="275"/>
      <c r="Q4" s="275"/>
      <c r="R4" s="235" t="s">
        <v>64</v>
      </c>
      <c r="S4" s="236">
        <v>0</v>
      </c>
      <c r="T4" s="236">
        <f>Revenues!J5</f>
        <v>21404.501132615831</v>
      </c>
      <c r="U4" s="236">
        <f>Revenues!K5</f>
        <v>35674.16855435972</v>
      </c>
      <c r="V4" s="236">
        <f t="shared" ref="V4:AC4" si="1">U4</f>
        <v>35674.16855435972</v>
      </c>
      <c r="W4" s="236">
        <f t="shared" si="1"/>
        <v>35674.16855435972</v>
      </c>
      <c r="X4" s="236">
        <f t="shared" si="1"/>
        <v>35674.16855435972</v>
      </c>
      <c r="Y4" s="236">
        <f t="shared" si="1"/>
        <v>35674.16855435972</v>
      </c>
      <c r="Z4" s="236">
        <f t="shared" si="1"/>
        <v>35674.16855435972</v>
      </c>
      <c r="AA4" s="236">
        <f t="shared" si="1"/>
        <v>35674.16855435972</v>
      </c>
      <c r="AB4" s="236">
        <f t="shared" si="1"/>
        <v>35674.16855435972</v>
      </c>
      <c r="AC4" s="236">
        <f t="shared" si="1"/>
        <v>35674.16855435972</v>
      </c>
      <c r="AE4" t="s">
        <v>381</v>
      </c>
      <c r="AF4" s="176">
        <f>-AC4</f>
        <v>-35674.16855435972</v>
      </c>
    </row>
    <row r="5" spans="8:32" ht="17.25" x14ac:dyDescent="0.45">
      <c r="H5" s="106" t="s">
        <v>199</v>
      </c>
      <c r="L5" s="5" t="s">
        <v>177</v>
      </c>
      <c r="M5" s="187">
        <v>10000</v>
      </c>
      <c r="N5" t="s">
        <v>22</v>
      </c>
      <c r="P5" s="275"/>
      <c r="Q5" s="275"/>
      <c r="R5" s="237" t="s">
        <v>43</v>
      </c>
      <c r="S5" s="234">
        <v>0</v>
      </c>
      <c r="T5" s="234">
        <f>T3-T4</f>
        <v>307895.51629224309</v>
      </c>
      <c r="U5" s="234">
        <f t="shared" ref="U5:AC5" si="2">U3-U4</f>
        <v>513159.19382040517</v>
      </c>
      <c r="V5" s="234">
        <f t="shared" si="2"/>
        <v>513159.19382040517</v>
      </c>
      <c r="W5" s="234">
        <f t="shared" si="2"/>
        <v>513159.19382040517</v>
      </c>
      <c r="X5" s="234">
        <f t="shared" si="2"/>
        <v>513159.19382040517</v>
      </c>
      <c r="Y5" s="234">
        <f t="shared" si="2"/>
        <v>513159.19382040517</v>
      </c>
      <c r="Z5" s="234">
        <f t="shared" si="2"/>
        <v>513159.19382040517</v>
      </c>
      <c r="AA5" s="234">
        <f t="shared" si="2"/>
        <v>513159.19382040517</v>
      </c>
      <c r="AB5" s="234">
        <f t="shared" si="2"/>
        <v>513159.19382040517</v>
      </c>
      <c r="AC5" s="234">
        <f t="shared" si="2"/>
        <v>513159.19382040517</v>
      </c>
      <c r="AE5" t="s">
        <v>382</v>
      </c>
      <c r="AF5" s="176">
        <f>-AC6</f>
        <v>-228576.1854752581</v>
      </c>
    </row>
    <row r="6" spans="8:32" x14ac:dyDescent="0.45">
      <c r="H6" s="71" t="s">
        <v>203</v>
      </c>
      <c r="L6" s="5" t="s">
        <v>174</v>
      </c>
      <c r="M6" s="187">
        <v>1000</v>
      </c>
      <c r="N6" t="s">
        <v>21</v>
      </c>
      <c r="P6" s="275"/>
      <c r="Q6" s="275"/>
      <c r="R6" s="235" t="s">
        <v>44</v>
      </c>
      <c r="S6" s="236">
        <v>0</v>
      </c>
      <c r="T6" s="236">
        <f>Costs!I22-T8-T9</f>
        <v>228576.1854752581</v>
      </c>
      <c r="U6" s="236">
        <f>T6</f>
        <v>228576.1854752581</v>
      </c>
      <c r="V6" s="236">
        <f t="shared" ref="V6:AC6" si="3">U6</f>
        <v>228576.1854752581</v>
      </c>
      <c r="W6" s="236">
        <f t="shared" si="3"/>
        <v>228576.1854752581</v>
      </c>
      <c r="X6" s="236">
        <f t="shared" si="3"/>
        <v>228576.1854752581</v>
      </c>
      <c r="Y6" s="236">
        <f t="shared" si="3"/>
        <v>228576.1854752581</v>
      </c>
      <c r="Z6" s="236">
        <f t="shared" si="3"/>
        <v>228576.1854752581</v>
      </c>
      <c r="AA6" s="236">
        <f t="shared" si="3"/>
        <v>228576.1854752581</v>
      </c>
      <c r="AB6" s="236">
        <f t="shared" si="3"/>
        <v>228576.1854752581</v>
      </c>
      <c r="AC6" s="236">
        <f t="shared" si="3"/>
        <v>228576.1854752581</v>
      </c>
      <c r="AE6" t="s">
        <v>383</v>
      </c>
      <c r="AF6" s="176">
        <f>-AC7</f>
        <v>-151450.29999999999</v>
      </c>
    </row>
    <row r="7" spans="8:32" x14ac:dyDescent="0.45">
      <c r="H7" s="3" t="s">
        <v>201</v>
      </c>
      <c r="P7" s="275"/>
      <c r="Q7" s="275"/>
      <c r="R7" s="235" t="s">
        <v>67</v>
      </c>
      <c r="S7" s="236">
        <v>0</v>
      </c>
      <c r="T7" s="236">
        <f>E27</f>
        <v>151450.29999999999</v>
      </c>
      <c r="U7" s="236">
        <f t="shared" ref="U7:AC7" si="4">T7</f>
        <v>151450.29999999999</v>
      </c>
      <c r="V7" s="236">
        <f t="shared" si="4"/>
        <v>151450.29999999999</v>
      </c>
      <c r="W7" s="236">
        <f t="shared" si="4"/>
        <v>151450.29999999999</v>
      </c>
      <c r="X7" s="236">
        <f t="shared" si="4"/>
        <v>151450.29999999999</v>
      </c>
      <c r="Y7" s="236">
        <f t="shared" si="4"/>
        <v>151450.29999999999</v>
      </c>
      <c r="Z7" s="236">
        <f t="shared" si="4"/>
        <v>151450.29999999999</v>
      </c>
      <c r="AA7" s="236">
        <f t="shared" si="4"/>
        <v>151450.29999999999</v>
      </c>
      <c r="AB7" s="236">
        <f t="shared" si="4"/>
        <v>151450.29999999999</v>
      </c>
      <c r="AC7" s="236">
        <f t="shared" si="4"/>
        <v>151450.29999999999</v>
      </c>
      <c r="AE7" t="s">
        <v>426</v>
      </c>
      <c r="AF7" s="176">
        <f t="shared" ref="AF7:AF8" si="5">-AC8</f>
        <v>-361.18840299038811</v>
      </c>
    </row>
    <row r="8" spans="8:32" x14ac:dyDescent="0.45">
      <c r="H8" s="73" t="s">
        <v>200</v>
      </c>
      <c r="P8" s="275"/>
      <c r="Q8" s="275"/>
      <c r="R8" s="235" t="s">
        <v>424</v>
      </c>
      <c r="S8" s="236">
        <v>0</v>
      </c>
      <c r="T8" s="236">
        <f>Costs!D73</f>
        <v>361.18840299038811</v>
      </c>
      <c r="U8" s="236">
        <f t="shared" ref="U8:AC8" si="6">T8</f>
        <v>361.18840299038811</v>
      </c>
      <c r="V8" s="236">
        <f t="shared" si="6"/>
        <v>361.18840299038811</v>
      </c>
      <c r="W8" s="236">
        <f t="shared" si="6"/>
        <v>361.18840299038811</v>
      </c>
      <c r="X8" s="236">
        <f t="shared" si="6"/>
        <v>361.18840299038811</v>
      </c>
      <c r="Y8" s="236">
        <f t="shared" si="6"/>
        <v>361.18840299038811</v>
      </c>
      <c r="Z8" s="236">
        <f t="shared" si="6"/>
        <v>361.18840299038811</v>
      </c>
      <c r="AA8" s="236">
        <f t="shared" si="6"/>
        <v>361.18840299038811</v>
      </c>
      <c r="AB8" s="236">
        <f t="shared" si="6"/>
        <v>361.18840299038811</v>
      </c>
      <c r="AC8" s="236">
        <f t="shared" si="6"/>
        <v>361.18840299038811</v>
      </c>
      <c r="AE8" t="s">
        <v>427</v>
      </c>
      <c r="AF8" s="176">
        <f t="shared" si="5"/>
        <v>-13669.011339633002</v>
      </c>
    </row>
    <row r="9" spans="8:32" ht="21" x14ac:dyDescent="0.65">
      <c r="H9" s="80" t="s">
        <v>202</v>
      </c>
      <c r="L9" s="61" t="s">
        <v>217</v>
      </c>
      <c r="M9" s="106" t="s">
        <v>20</v>
      </c>
      <c r="P9" s="275"/>
      <c r="Q9" s="275"/>
      <c r="R9" s="235" t="s">
        <v>425</v>
      </c>
      <c r="S9" s="236">
        <v>0</v>
      </c>
      <c r="T9" s="236">
        <f>Costs!E69</f>
        <v>13669.011339633002</v>
      </c>
      <c r="U9" s="236">
        <f t="shared" ref="U9:AC9" si="7">T9</f>
        <v>13669.011339633002</v>
      </c>
      <c r="V9" s="236">
        <f t="shared" si="7"/>
        <v>13669.011339633002</v>
      </c>
      <c r="W9" s="236">
        <f t="shared" si="7"/>
        <v>13669.011339633002</v>
      </c>
      <c r="X9" s="236">
        <f t="shared" si="7"/>
        <v>13669.011339633002</v>
      </c>
      <c r="Y9" s="236">
        <f t="shared" si="7"/>
        <v>13669.011339633002</v>
      </c>
      <c r="Z9" s="236">
        <f t="shared" si="7"/>
        <v>13669.011339633002</v>
      </c>
      <c r="AA9" s="236">
        <f t="shared" si="7"/>
        <v>13669.011339633002</v>
      </c>
      <c r="AB9" s="236">
        <f t="shared" si="7"/>
        <v>13669.011339633002</v>
      </c>
      <c r="AC9" s="236">
        <f t="shared" si="7"/>
        <v>13669.011339633002</v>
      </c>
      <c r="AE9" t="s">
        <v>384</v>
      </c>
      <c r="AF9" s="176">
        <f>-AC11</f>
        <v>-2939.2555106842951</v>
      </c>
    </row>
    <row r="10" spans="8:32" ht="17.25" x14ac:dyDescent="0.45">
      <c r="M10" s="106" t="s">
        <v>19</v>
      </c>
      <c r="P10" s="275"/>
      <c r="Q10" s="275"/>
      <c r="R10" s="237" t="s">
        <v>45</v>
      </c>
      <c r="S10" s="234">
        <f>S5-SUM(S6:S9)</f>
        <v>0</v>
      </c>
      <c r="T10" s="234">
        <f t="shared" ref="T10:AC10" si="8">T5-SUM(T6:T9)</f>
        <v>-86161.168925638427</v>
      </c>
      <c r="U10" s="234">
        <f t="shared" si="8"/>
        <v>119102.50860252365</v>
      </c>
      <c r="V10" s="234">
        <f t="shared" si="8"/>
        <v>119102.50860252365</v>
      </c>
      <c r="W10" s="234">
        <f t="shared" si="8"/>
        <v>119102.50860252365</v>
      </c>
      <c r="X10" s="234">
        <f t="shared" si="8"/>
        <v>119102.50860252365</v>
      </c>
      <c r="Y10" s="234">
        <f t="shared" si="8"/>
        <v>119102.50860252365</v>
      </c>
      <c r="Z10" s="234">
        <f t="shared" si="8"/>
        <v>119102.50860252365</v>
      </c>
      <c r="AA10" s="234">
        <f t="shared" si="8"/>
        <v>119102.50860252365</v>
      </c>
      <c r="AB10" s="234">
        <f t="shared" si="8"/>
        <v>119102.50860252365</v>
      </c>
      <c r="AC10" s="234">
        <f t="shared" si="8"/>
        <v>119102.50860252365</v>
      </c>
      <c r="AE10" t="s">
        <v>385</v>
      </c>
      <c r="AF10" s="176">
        <f>-AC12</f>
        <v>-17865.376290378546</v>
      </c>
    </row>
    <row r="11" spans="8:32" x14ac:dyDescent="0.45">
      <c r="M11" s="106" t="s">
        <v>353</v>
      </c>
      <c r="P11" s="275"/>
      <c r="Q11" s="275"/>
      <c r="R11" s="235" t="s">
        <v>46</v>
      </c>
      <c r="S11" s="236">
        <v>0</v>
      </c>
      <c r="T11" s="236">
        <f>Funding!D17</f>
        <v>29392.555106842905</v>
      </c>
      <c r="U11" s="236">
        <f>Funding!E17</f>
        <v>26453.299596158613</v>
      </c>
      <c r="V11" s="236">
        <f>Funding!F17</f>
        <v>23514.044085474325</v>
      </c>
      <c r="W11" s="236">
        <f>Funding!G17</f>
        <v>20574.788574790036</v>
      </c>
      <c r="X11" s="236">
        <f>Funding!H17</f>
        <v>17635.533064105744</v>
      </c>
      <c r="Y11" s="236">
        <f>Funding!I17</f>
        <v>14696.277553421456</v>
      </c>
      <c r="Z11" s="236">
        <f>Funding!J17</f>
        <v>11757.022042737166</v>
      </c>
      <c r="AA11" s="236">
        <f>Funding!K17</f>
        <v>8817.7665320528758</v>
      </c>
      <c r="AB11" s="236">
        <f>Funding!L17</f>
        <v>5878.5110213685857</v>
      </c>
      <c r="AC11" s="236">
        <f>Funding!M17</f>
        <v>2939.2555106842951</v>
      </c>
      <c r="AE11" t="s">
        <v>386</v>
      </c>
      <c r="AF11" s="176">
        <f>-AC13</f>
        <v>-32013.471560163762</v>
      </c>
    </row>
    <row r="12" spans="8:32" x14ac:dyDescent="0.45">
      <c r="P12" s="275"/>
      <c r="Q12" s="275"/>
      <c r="R12" s="235" t="s">
        <v>65</v>
      </c>
      <c r="S12" s="236">
        <v>0</v>
      </c>
      <c r="T12" s="236">
        <f>MAX(T10*Revenues!$B$12,0)</f>
        <v>0</v>
      </c>
      <c r="U12" s="236">
        <f>MAX(U10*Revenues!$B$12,0)</f>
        <v>17865.376290378546</v>
      </c>
      <c r="V12" s="236">
        <f>MAX(V10*Revenues!$B$12,0)</f>
        <v>17865.376290378546</v>
      </c>
      <c r="W12" s="236">
        <f>MAX(W10*Revenues!$B$12,0)</f>
        <v>17865.376290378546</v>
      </c>
      <c r="X12" s="236">
        <f>MAX(X10*Revenues!$B$12,0)</f>
        <v>17865.376290378546</v>
      </c>
      <c r="Y12" s="236">
        <f>MAX(Y10*Revenues!$B$12,0)</f>
        <v>17865.376290378546</v>
      </c>
      <c r="Z12" s="236">
        <f>MAX(Z10*Revenues!$B$12,0)</f>
        <v>17865.376290378546</v>
      </c>
      <c r="AA12" s="236">
        <f>MAX(AA10*Revenues!$B$12,0)</f>
        <v>17865.376290378546</v>
      </c>
      <c r="AB12" s="236">
        <f>MAX(AB10*Revenues!$B$12,0)</f>
        <v>17865.376290378546</v>
      </c>
      <c r="AC12" s="236">
        <f>MAX(AC10*Revenues!$B$12,0)</f>
        <v>17865.376290378546</v>
      </c>
      <c r="AE12" s="29" t="s">
        <v>387</v>
      </c>
      <c r="AF12" s="176">
        <f>-AC15</f>
        <v>-27722.18561763447</v>
      </c>
    </row>
    <row r="13" spans="8:32" ht="18.399999999999999" thickBot="1" x14ac:dyDescent="0.6">
      <c r="P13" s="275"/>
      <c r="Q13" s="275"/>
      <c r="R13" s="235" t="s">
        <v>255</v>
      </c>
      <c r="S13" s="236">
        <f>Funding!C5</f>
        <v>10000</v>
      </c>
      <c r="T13" s="236">
        <f>Investment!L4</f>
        <v>14947.887500000001</v>
      </c>
      <c r="U13" s="236">
        <f>Investment!M4</f>
        <v>19149.019308472765</v>
      </c>
      <c r="V13" s="236">
        <f>Investment!N4</f>
        <v>17048.453404236381</v>
      </c>
      <c r="W13" s="236">
        <f>Investment!O4</f>
        <v>19149.019308472765</v>
      </c>
      <c r="X13" s="236">
        <f>Investment!P4</f>
        <v>17252.953404236381</v>
      </c>
      <c r="Y13" s="236">
        <f>Investment!Q4</f>
        <v>21249.585212709149</v>
      </c>
      <c r="Z13" s="236">
        <f>Investment!R4</f>
        <v>14947.887500000001</v>
      </c>
      <c r="AA13" s="236">
        <f>Investment!S4</f>
        <v>19149.019308472765</v>
      </c>
      <c r="AB13" s="236">
        <f>Investment!T4</f>
        <v>17048.453404236381</v>
      </c>
      <c r="AC13" s="236">
        <f>Investment!U4</f>
        <v>32013.471560163762</v>
      </c>
      <c r="AE13" s="31" t="s">
        <v>49</v>
      </c>
      <c r="AF13" s="176">
        <f>SUM(AF3:AF12)</f>
        <v>38562.219623662633</v>
      </c>
    </row>
    <row r="14" spans="8:32" ht="17.649999999999999" thickTop="1" x14ac:dyDescent="0.45">
      <c r="H14" t="s">
        <v>422</v>
      </c>
      <c r="P14" s="275"/>
      <c r="Q14" s="275"/>
      <c r="R14" s="238" t="s">
        <v>47</v>
      </c>
      <c r="S14" s="239">
        <f>S10-S11-S12-S13</f>
        <v>-10000</v>
      </c>
      <c r="T14" s="239">
        <f>T10-T11-T12-T13</f>
        <v>-130501.61153248133</v>
      </c>
      <c r="U14" s="239">
        <f t="shared" ref="U14:AC14" si="9">U10-U11-U12-U13</f>
        <v>55634.813407513735</v>
      </c>
      <c r="V14" s="239">
        <f t="shared" si="9"/>
        <v>60674.634822434396</v>
      </c>
      <c r="W14" s="239">
        <f t="shared" si="9"/>
        <v>61513.324428882319</v>
      </c>
      <c r="X14" s="239">
        <f t="shared" si="9"/>
        <v>66348.64584380298</v>
      </c>
      <c r="Y14" s="239">
        <f t="shared" si="9"/>
        <v>65291.26954601449</v>
      </c>
      <c r="Z14" s="239">
        <f t="shared" si="9"/>
        <v>74532.222769407948</v>
      </c>
      <c r="AA14" s="239">
        <f t="shared" si="9"/>
        <v>73270.346471619458</v>
      </c>
      <c r="AB14" s="239">
        <f t="shared" si="9"/>
        <v>78310.167886540148</v>
      </c>
      <c r="AC14" s="239">
        <f t="shared" si="9"/>
        <v>66284.405241297049</v>
      </c>
    </row>
    <row r="15" spans="8:32" x14ac:dyDescent="0.45">
      <c r="H15" t="s">
        <v>423</v>
      </c>
      <c r="P15" s="29"/>
      <c r="Q15" s="29"/>
      <c r="R15" s="240" t="s">
        <v>48</v>
      </c>
      <c r="S15" s="241">
        <v>0</v>
      </c>
      <c r="T15" s="241">
        <f>Funding!D16</f>
        <v>54175.485213793079</v>
      </c>
      <c r="U15" s="241">
        <f>Funding!E16</f>
        <v>51236.229703108787</v>
      </c>
      <c r="V15" s="241">
        <f>Funding!F16</f>
        <v>48296.974192424503</v>
      </c>
      <c r="W15" s="241">
        <f>Funding!G16</f>
        <v>45357.718681740211</v>
      </c>
      <c r="X15" s="241">
        <f>Funding!H16</f>
        <v>42418.463171055919</v>
      </c>
      <c r="Y15" s="241">
        <f>Funding!I16</f>
        <v>39479.207660371627</v>
      </c>
      <c r="Z15" s="241">
        <f>Funding!J16</f>
        <v>36539.952149687342</v>
      </c>
      <c r="AA15" s="241">
        <f>Funding!K16</f>
        <v>33600.69663900305</v>
      </c>
      <c r="AB15" s="241">
        <f>Funding!L16</f>
        <v>30661.441128318758</v>
      </c>
      <c r="AC15" s="241">
        <f>Funding!M16</f>
        <v>27722.18561763447</v>
      </c>
    </row>
    <row r="16" spans="8:32" ht="17.649999999999999" thickBot="1" x14ac:dyDescent="0.5">
      <c r="H16" t="s">
        <v>428</v>
      </c>
      <c r="P16" s="29"/>
      <c r="Q16" s="29"/>
      <c r="R16" s="242" t="s">
        <v>49</v>
      </c>
      <c r="S16" s="243">
        <f>S14-S15</f>
        <v>-10000</v>
      </c>
      <c r="T16" s="243">
        <f t="shared" ref="T16:AC16" si="10">T14-T15</f>
        <v>-184677.09674627442</v>
      </c>
      <c r="U16" s="243">
        <f t="shared" si="10"/>
        <v>4398.5837044049476</v>
      </c>
      <c r="V16" s="243">
        <f t="shared" si="10"/>
        <v>12377.660630009894</v>
      </c>
      <c r="W16" s="243">
        <f t="shared" si="10"/>
        <v>16155.605747142108</v>
      </c>
      <c r="X16" s="243">
        <f t="shared" si="10"/>
        <v>23930.182672747062</v>
      </c>
      <c r="Y16" s="243">
        <f t="shared" si="10"/>
        <v>25812.061885642863</v>
      </c>
      <c r="Z16" s="243">
        <f t="shared" si="10"/>
        <v>37992.270619720606</v>
      </c>
      <c r="AA16" s="243">
        <f t="shared" si="10"/>
        <v>39669.649832616407</v>
      </c>
      <c r="AB16" s="243">
        <f t="shared" si="10"/>
        <v>47648.72675822139</v>
      </c>
      <c r="AC16" s="243">
        <f t="shared" si="10"/>
        <v>38562.219623662575</v>
      </c>
    </row>
    <row r="17" spans="2:32" ht="15.75" thickTop="1" x14ac:dyDescent="0.45">
      <c r="R17" s="244" t="s">
        <v>431</v>
      </c>
      <c r="S17" s="245">
        <f t="shared" ref="S17:AC17" si="11">S16/(1+WACC)^S1</f>
        <v>-10000</v>
      </c>
      <c r="T17" s="245">
        <f t="shared" si="11"/>
        <v>-164797.22038187293</v>
      </c>
      <c r="U17" s="245">
        <f t="shared" si="11"/>
        <v>3502.5677804531097</v>
      </c>
      <c r="V17" s="245">
        <f t="shared" si="11"/>
        <v>8795.2685025773226</v>
      </c>
      <c r="W17" s="245">
        <f t="shared" si="11"/>
        <v>10244.024798959997</v>
      </c>
      <c r="X17" s="245">
        <f t="shared" si="11"/>
        <v>13540.360660699733</v>
      </c>
      <c r="Y17" s="245">
        <f t="shared" si="11"/>
        <v>13032.980933084273</v>
      </c>
      <c r="Z17" s="245">
        <f t="shared" si="11"/>
        <v>17118.005279932924</v>
      </c>
      <c r="AA17" s="245">
        <f t="shared" si="11"/>
        <v>15949.721954330287</v>
      </c>
      <c r="AB17" s="245">
        <f t="shared" si="11"/>
        <v>17095.542755553182</v>
      </c>
      <c r="AC17" s="245">
        <f t="shared" si="11"/>
        <v>12346.119059892782</v>
      </c>
      <c r="AD17" s="175"/>
    </row>
    <row r="18" spans="2:32" ht="15.4" x14ac:dyDescent="0.45">
      <c r="R18" s="244" t="s">
        <v>432</v>
      </c>
      <c r="S18" s="245">
        <f>SUM($S$17:S17)</f>
        <v>-10000</v>
      </c>
      <c r="T18" s="245">
        <f>SUM($S$17:T17)</f>
        <v>-174797.22038187293</v>
      </c>
      <c r="U18" s="245">
        <f>SUM($S$17:U17)</f>
        <v>-171294.65260141983</v>
      </c>
      <c r="V18" s="245">
        <f>SUM($S$17:V17)</f>
        <v>-162499.38409884251</v>
      </c>
      <c r="W18" s="245">
        <f>SUM($S$17:W17)</f>
        <v>-152255.35929988252</v>
      </c>
      <c r="X18" s="245">
        <f>SUM($S$17:X17)</f>
        <v>-138714.9986391828</v>
      </c>
      <c r="Y18" s="245">
        <f>SUM($S$17:Y17)</f>
        <v>-125682.01770609853</v>
      </c>
      <c r="Z18" s="245">
        <f>SUM($S$17:Z17)</f>
        <v>-108564.0124261656</v>
      </c>
      <c r="AA18" s="245">
        <f>SUM($S$17:AA17)</f>
        <v>-92614.290471835309</v>
      </c>
      <c r="AB18" s="245">
        <f>SUM($S$17:AB17)</f>
        <v>-75518.747716282131</v>
      </c>
      <c r="AC18" s="245">
        <f>SUM($S$17:AC17)</f>
        <v>-63172.628656389352</v>
      </c>
    </row>
    <row r="19" spans="2:32" x14ac:dyDescent="0.45">
      <c r="R19" s="240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</row>
    <row r="20" spans="2:32" ht="17.649999999999999" thickBot="1" x14ac:dyDescent="0.5">
      <c r="R20" s="246" t="s">
        <v>50</v>
      </c>
      <c r="S20" s="252">
        <f>S16+NPV(WACC,T16:AC16)</f>
        <v>-63172.628656389337</v>
      </c>
      <c r="T20" s="247" t="str">
        <f>IF(S20&gt;0,"YES","NO")</f>
        <v>NO</v>
      </c>
      <c r="U20" s="248"/>
      <c r="V20" s="235"/>
      <c r="W20" s="235"/>
      <c r="X20" s="235"/>
      <c r="Y20" s="235"/>
      <c r="Z20" s="248"/>
      <c r="AA20" s="248"/>
      <c r="AB20" s="248"/>
      <c r="AC20" s="248"/>
    </row>
    <row r="21" spans="2:32" s="29" customFormat="1" ht="10.15" customHeight="1" x14ac:dyDescent="0.45">
      <c r="B21" s="290" t="s">
        <v>142</v>
      </c>
      <c r="C21" s="291"/>
      <c r="D21" s="291"/>
      <c r="E21" s="27"/>
      <c r="F21" s="27"/>
      <c r="G21" s="27"/>
      <c r="H21" s="27"/>
      <c r="I21" s="27"/>
      <c r="J21" s="40"/>
      <c r="K21" s="27"/>
      <c r="L21" s="57"/>
      <c r="M21" s="40"/>
      <c r="N21" s="28"/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  <c r="AD21"/>
      <c r="AE21"/>
      <c r="AF21" s="5"/>
    </row>
    <row r="22" spans="2:32" s="29" customFormat="1" ht="21" x14ac:dyDescent="0.65">
      <c r="B22" s="292"/>
      <c r="C22" s="293"/>
      <c r="D22" s="293"/>
      <c r="F22" s="35"/>
      <c r="G22" s="35"/>
      <c r="H22" s="35"/>
      <c r="I22" s="35"/>
      <c r="J22" s="37"/>
      <c r="K22" s="35"/>
      <c r="L22" s="58"/>
      <c r="M22" s="33"/>
      <c r="N22" s="36"/>
      <c r="R22" s="246" t="s">
        <v>433</v>
      </c>
      <c r="S22" s="250" t="str" cm="1">
        <f t="array" ref="S22">IFERROR(MATCH(TRUE,S18:AC18&gt;=0,0)-2+ABS(INDEX(S18:AC18,MATCH(TRUE,S18:AC18&gt;=0,0)-1))/(INDEX(S18:AC18,MATCH(TRUE,S18:AC18&gt;=0,0))-INDEX(S18:AC18,MATCH(TRUE,S18:AC18&gt;=0,0)-1)),"Over 10")</f>
        <v>Over 10</v>
      </c>
      <c r="T22" s="249" t="s">
        <v>171</v>
      </c>
      <c r="U22" s="240"/>
      <c r="V22" s="240"/>
      <c r="W22" s="240"/>
      <c r="X22" s="240"/>
      <c r="Y22" s="240"/>
      <c r="Z22" s="240"/>
      <c r="AA22" s="240"/>
      <c r="AB22" s="240"/>
      <c r="AC22" s="240"/>
      <c r="AD22"/>
      <c r="AE22"/>
      <c r="AF22" s="5"/>
    </row>
    <row r="23" spans="2:32" s="29" customFormat="1" ht="6.85" customHeight="1" thickBot="1" x14ac:dyDescent="0.7">
      <c r="B23" s="292"/>
      <c r="C23" s="293"/>
      <c r="D23" s="293"/>
      <c r="F23" s="35"/>
      <c r="G23" s="35"/>
      <c r="H23" s="35"/>
      <c r="I23" s="35"/>
      <c r="J23" s="37"/>
      <c r="K23" s="35"/>
      <c r="L23" s="58"/>
      <c r="M23" s="33"/>
      <c r="N23" s="36"/>
      <c r="AD23"/>
      <c r="AE23"/>
      <c r="AF23" s="33"/>
    </row>
    <row r="24" spans="2:32" s="29" customFormat="1" ht="40.5" customHeight="1" x14ac:dyDescent="0.7">
      <c r="B24" s="38" t="s">
        <v>143</v>
      </c>
      <c r="C24" s="294" t="s">
        <v>149</v>
      </c>
      <c r="D24" s="295"/>
      <c r="E24" s="295"/>
      <c r="F24" s="53" t="e" vm="2">
        <v>#VALUE!</v>
      </c>
      <c r="G24" s="41"/>
      <c r="H24" s="41"/>
      <c r="I24" s="41"/>
      <c r="J24" s="53" t="e" vm="3">
        <v>#VALUE!</v>
      </c>
      <c r="K24" s="41"/>
      <c r="L24" s="54" t="e" vm="4">
        <v>#VALUE!</v>
      </c>
      <c r="M24" s="52" t="e" vm="5">
        <v>#VALUE!</v>
      </c>
      <c r="N24" s="36"/>
      <c r="AD24"/>
      <c r="AF24" s="33"/>
    </row>
    <row r="25" spans="2:32" s="29" customFormat="1" ht="26.75" customHeight="1" x14ac:dyDescent="1.05">
      <c r="B25" s="38"/>
      <c r="C25" s="296"/>
      <c r="D25" s="297"/>
      <c r="E25" s="297"/>
      <c r="F25" s="42" t="s">
        <v>172</v>
      </c>
      <c r="G25" s="43"/>
      <c r="H25" s="43"/>
      <c r="I25" s="43"/>
      <c r="J25" s="42" t="s">
        <v>17</v>
      </c>
      <c r="K25" s="43"/>
      <c r="L25" s="59" t="s">
        <v>161</v>
      </c>
      <c r="M25" s="51" t="s">
        <v>165</v>
      </c>
      <c r="N25" s="36"/>
      <c r="AD25"/>
      <c r="AF25" s="33"/>
    </row>
    <row r="26" spans="2:32" s="29" customFormat="1" ht="26.75" customHeight="1" thickBot="1" x14ac:dyDescent="0.75">
      <c r="B26" s="38"/>
      <c r="C26" s="288" t="s">
        <v>150</v>
      </c>
      <c r="D26" s="44"/>
      <c r="E26" s="44"/>
      <c r="F26" s="126">
        <f>Revenues!G4</f>
        <v>357867.80523699342</v>
      </c>
      <c r="G26" s="127"/>
      <c r="H26" s="127"/>
      <c r="I26" s="127"/>
      <c r="J26" s="128">
        <f>Revenues!G6</f>
        <v>190965.55713777142</v>
      </c>
      <c r="K26" s="127"/>
      <c r="L26" s="129">
        <f>Revenues!G7</f>
        <v>0</v>
      </c>
      <c r="M26" s="130">
        <f>SUM(F26:L26)</f>
        <v>548833.36237476487</v>
      </c>
      <c r="N26" s="36"/>
      <c r="AF26" s="33"/>
    </row>
    <row r="27" spans="2:32" s="29" customFormat="1" ht="26.75" customHeight="1" x14ac:dyDescent="0.7">
      <c r="B27" s="38" t="s">
        <v>144</v>
      </c>
      <c r="C27" s="288"/>
      <c r="D27" s="279" t="s">
        <v>154</v>
      </c>
      <c r="E27" s="281">
        <f>Costs!I3</f>
        <v>151450.29999999999</v>
      </c>
      <c r="F27" s="281"/>
      <c r="G27" s="27"/>
      <c r="H27" s="27"/>
      <c r="I27" s="27"/>
      <c r="J27" s="40"/>
      <c r="K27" s="27"/>
      <c r="L27" s="57"/>
      <c r="M27" s="56"/>
      <c r="N27" s="30"/>
      <c r="AF27" s="33"/>
    </row>
    <row r="28" spans="2:32" s="29" customFormat="1" ht="26.75" customHeight="1" x14ac:dyDescent="0.7">
      <c r="B28" s="38"/>
      <c r="C28" s="45"/>
      <c r="D28" s="280"/>
      <c r="E28" s="282"/>
      <c r="F28" s="282"/>
      <c r="J28" s="33"/>
      <c r="L28" s="55"/>
      <c r="M28" s="34"/>
      <c r="N28" s="30"/>
      <c r="AF28" s="33"/>
    </row>
    <row r="29" spans="2:32" s="29" customFormat="1" ht="26.75" customHeight="1" thickBot="1" x14ac:dyDescent="0.75">
      <c r="B29" s="38"/>
      <c r="C29" s="46"/>
      <c r="D29" s="39" t="s">
        <v>155</v>
      </c>
      <c r="E29" s="33"/>
      <c r="F29" s="33"/>
      <c r="G29" s="33"/>
      <c r="H29" s="33"/>
      <c r="I29" s="33"/>
      <c r="J29" s="33"/>
      <c r="K29" s="33"/>
      <c r="L29" s="55"/>
      <c r="M29" s="34"/>
      <c r="N29" s="30"/>
      <c r="AF29" s="33"/>
    </row>
    <row r="30" spans="2:32" s="29" customFormat="1" ht="26.75" customHeight="1" x14ac:dyDescent="0.7">
      <c r="B30" s="38" t="s">
        <v>145</v>
      </c>
      <c r="C30" s="288" t="s">
        <v>151</v>
      </c>
      <c r="D30" s="197"/>
      <c r="E30" s="298" t="s">
        <v>133</v>
      </c>
      <c r="F30" s="299"/>
      <c r="G30" s="299"/>
      <c r="H30" s="131"/>
      <c r="I30" s="131"/>
      <c r="J30" s="131"/>
      <c r="K30" s="132"/>
      <c r="L30" s="133"/>
      <c r="M30" s="134"/>
      <c r="N30" s="278" t="e" vm="6">
        <v>#VALUE!</v>
      </c>
      <c r="AF30" s="33"/>
    </row>
    <row r="31" spans="2:32" s="29" customFormat="1" ht="34.5" customHeight="1" x14ac:dyDescent="0.7">
      <c r="B31" s="38"/>
      <c r="C31" s="288"/>
      <c r="D31" s="198" t="s">
        <v>196</v>
      </c>
      <c r="E31" s="300"/>
      <c r="F31" s="301"/>
      <c r="G31" s="301"/>
      <c r="H31" s="135"/>
      <c r="I31" s="135"/>
      <c r="J31" s="135"/>
      <c r="K31" s="134"/>
      <c r="L31" s="133"/>
      <c r="M31" s="136" t="e" vm="7">
        <v>#VALUE!</v>
      </c>
      <c r="N31" s="278"/>
      <c r="S31" t="s">
        <v>324</v>
      </c>
      <c r="T31"/>
      <c r="U31" t="s">
        <v>551</v>
      </c>
      <c r="V31"/>
      <c r="AF31" s="33"/>
    </row>
    <row r="32" spans="2:32" s="29" customFormat="1" ht="26.75" customHeight="1" x14ac:dyDescent="0.7">
      <c r="B32" s="38"/>
      <c r="C32" s="46"/>
      <c r="D32" s="197"/>
      <c r="E32" s="137"/>
      <c r="F32" s="138" t="s">
        <v>162</v>
      </c>
      <c r="G32" s="138"/>
      <c r="H32" s="138" t="s">
        <v>3</v>
      </c>
      <c r="I32" s="138"/>
      <c r="J32" s="138" t="s">
        <v>9</v>
      </c>
      <c r="K32" s="139"/>
      <c r="L32" s="140"/>
      <c r="M32" s="141"/>
      <c r="N32" s="289" t="s">
        <v>170</v>
      </c>
      <c r="P32" s="275" t="e" vm="8">
        <v>#VALUE!</v>
      </c>
      <c r="Q32" s="275"/>
      <c r="S32" s="191">
        <f>System_Parameters!O43</f>
        <v>6348.4299481243361</v>
      </c>
      <c r="T32" t="s">
        <v>325</v>
      </c>
      <c r="U32" s="191">
        <f>Investment!F5</f>
        <v>60986.601281594878</v>
      </c>
      <c r="V32"/>
      <c r="AF32" s="33"/>
    </row>
    <row r="33" spans="1:32" s="29" customFormat="1" ht="26.75" customHeight="1" x14ac:dyDescent="1.05">
      <c r="B33" s="38" t="s">
        <v>146</v>
      </c>
      <c r="C33" s="46"/>
      <c r="D33" s="198" t="s">
        <v>156</v>
      </c>
      <c r="E33" s="137"/>
      <c r="F33" s="142">
        <f>Costs!E62</f>
        <v>550.72979708081164</v>
      </c>
      <c r="G33" s="138"/>
      <c r="H33" s="142">
        <f>Costs!C26</f>
        <v>850</v>
      </c>
      <c r="I33" s="138"/>
      <c r="J33" s="142">
        <f>Costs!E41</f>
        <v>684.78106087575657</v>
      </c>
      <c r="K33" s="139"/>
      <c r="L33" s="140" t="s">
        <v>161</v>
      </c>
      <c r="M33" s="143" t="s">
        <v>15</v>
      </c>
      <c r="N33" s="289"/>
      <c r="P33" s="275"/>
      <c r="Q33" s="275"/>
      <c r="S33" t="s">
        <v>327</v>
      </c>
      <c r="T33"/>
      <c r="U33"/>
      <c r="V33"/>
      <c r="AF33" s="33"/>
    </row>
    <row r="34" spans="1:32" s="29" customFormat="1" ht="26.75" customHeight="1" x14ac:dyDescent="0.85">
      <c r="B34" s="38"/>
      <c r="C34" s="288" t="s">
        <v>152</v>
      </c>
      <c r="D34" s="197"/>
      <c r="E34" s="137"/>
      <c r="F34" s="138" t="s">
        <v>1</v>
      </c>
      <c r="G34" s="138"/>
      <c r="H34" s="138" t="s">
        <v>6</v>
      </c>
      <c r="I34" s="138"/>
      <c r="J34" s="138" t="s">
        <v>10</v>
      </c>
      <c r="K34" s="139"/>
      <c r="L34" s="144">
        <f>Costs!C35+SUM(Costs!G41:H41)+SUM(Costs!G62:H62)</f>
        <v>10298.949804200784</v>
      </c>
      <c r="M34" s="145">
        <f>SUM(D27:L43)</f>
        <v>394056.68521788146</v>
      </c>
      <c r="N34" s="162">
        <f>M26-M34</f>
        <v>154776.67715688341</v>
      </c>
      <c r="P34" s="283">
        <f>S20</f>
        <v>-63172.628656389337</v>
      </c>
      <c r="Q34" s="283"/>
      <c r="S34" s="191">
        <f>System_Parameters!O45</f>
        <v>531.15941616233545</v>
      </c>
      <c r="T34" t="s">
        <v>326</v>
      </c>
      <c r="U34" s="191">
        <f>System_Parameters!Q45</f>
        <v>451.48550373798508</v>
      </c>
      <c r="V34" t="s">
        <v>358</v>
      </c>
      <c r="AF34" s="33"/>
    </row>
    <row r="35" spans="1:32" s="29" customFormat="1" ht="26.75" customHeight="1" x14ac:dyDescent="0.7">
      <c r="B35" s="38"/>
      <c r="C35" s="288"/>
      <c r="D35" s="198" t="s">
        <v>157</v>
      </c>
      <c r="E35" s="137"/>
      <c r="F35" s="142">
        <f>Costs!F62</f>
        <v>6884.1224635101453</v>
      </c>
      <c r="G35" s="138"/>
      <c r="H35" s="142">
        <f>Costs!C27</f>
        <v>0</v>
      </c>
      <c r="I35" s="138"/>
      <c r="J35" s="142">
        <f>Costs!F41</f>
        <v>239.67337130651478</v>
      </c>
      <c r="K35" s="139"/>
      <c r="L35" s="140"/>
      <c r="M35" s="134"/>
      <c r="N35" s="134" t="s">
        <v>244</v>
      </c>
      <c r="P35" s="277" t="str">
        <f>IFERROR(ROUND(S22,1)&amp;" years","Over 10 years")</f>
        <v>Over 10 years</v>
      </c>
      <c r="Q35" s="277"/>
      <c r="AF35" s="33"/>
    </row>
    <row r="36" spans="1:32" s="29" customFormat="1" ht="26.75" customHeight="1" x14ac:dyDescent="0.7">
      <c r="B36" s="38" t="s">
        <v>147</v>
      </c>
      <c r="C36" s="45"/>
      <c r="D36" s="197"/>
      <c r="E36" s="137"/>
      <c r="F36" s="138"/>
      <c r="G36" s="138"/>
      <c r="H36" s="138" t="s">
        <v>7</v>
      </c>
      <c r="I36" s="138"/>
      <c r="J36" s="138" t="s">
        <v>11</v>
      </c>
      <c r="K36" s="139"/>
      <c r="L36" s="140"/>
      <c r="M36" s="134"/>
      <c r="N36" s="146"/>
      <c r="AF36" s="33"/>
    </row>
    <row r="37" spans="1:32" s="29" customFormat="1" ht="26.75" customHeight="1" x14ac:dyDescent="0.7">
      <c r="B37" s="38"/>
      <c r="C37" s="46"/>
      <c r="D37" s="198" t="s">
        <v>158</v>
      </c>
      <c r="E37" s="137"/>
      <c r="F37" s="138"/>
      <c r="G37" s="138"/>
      <c r="H37" s="142">
        <f>Costs!C28</f>
        <v>0</v>
      </c>
      <c r="I37" s="138"/>
      <c r="J37" s="142">
        <f>Costs!C31</f>
        <v>0</v>
      </c>
      <c r="K37" s="139"/>
      <c r="L37" s="140"/>
      <c r="M37" s="134"/>
      <c r="N37" s="146"/>
      <c r="AF37" s="33"/>
    </row>
    <row r="38" spans="1:32" s="29" customFormat="1" ht="26.75" customHeight="1" x14ac:dyDescent="0.7">
      <c r="B38" s="38"/>
      <c r="C38" s="46"/>
      <c r="D38" s="197"/>
      <c r="E38" s="137"/>
      <c r="F38" s="138" t="s">
        <v>2</v>
      </c>
      <c r="G38" s="138"/>
      <c r="H38" s="138" t="s">
        <v>164</v>
      </c>
      <c r="I38" s="138"/>
      <c r="J38" s="138" t="s">
        <v>12</v>
      </c>
      <c r="K38" s="139"/>
      <c r="L38" s="140"/>
      <c r="M38" s="134"/>
      <c r="N38" s="146"/>
      <c r="AF38" s="33"/>
    </row>
    <row r="39" spans="1:32" s="29" customFormat="1" ht="26.75" customHeight="1" x14ac:dyDescent="0.7">
      <c r="B39" s="217" t="s">
        <v>148</v>
      </c>
      <c r="C39" s="288" t="s">
        <v>153</v>
      </c>
      <c r="D39" s="198" t="s">
        <v>159</v>
      </c>
      <c r="E39" s="137"/>
      <c r="F39" s="142">
        <f>Costs!C25</f>
        <v>0</v>
      </c>
      <c r="G39" s="138"/>
      <c r="H39" s="142">
        <f>Costs!C29</f>
        <v>0</v>
      </c>
      <c r="I39" s="138"/>
      <c r="J39" s="142">
        <f>Costs!C32</f>
        <v>2567.928978284087</v>
      </c>
      <c r="K39" s="139"/>
      <c r="L39" s="140"/>
      <c r="M39" s="134"/>
      <c r="N39" s="146"/>
      <c r="AF39" s="33"/>
    </row>
    <row r="40" spans="1:32" s="29" customFormat="1" ht="26.75" customHeight="1" x14ac:dyDescent="0.7">
      <c r="B40" s="38"/>
      <c r="C40" s="288"/>
      <c r="D40" s="197"/>
      <c r="E40" s="137"/>
      <c r="F40" s="138"/>
      <c r="G40" s="138"/>
      <c r="H40" s="138" t="s">
        <v>8</v>
      </c>
      <c r="I40" s="138"/>
      <c r="J40" s="138" t="s">
        <v>13</v>
      </c>
      <c r="K40" s="139"/>
      <c r="L40" s="140"/>
      <c r="M40" s="134"/>
      <c r="N40" s="146"/>
      <c r="AF40" s="33"/>
    </row>
    <row r="41" spans="1:32" s="29" customFormat="1" ht="26.75" customHeight="1" x14ac:dyDescent="0.7">
      <c r="B41" s="38"/>
      <c r="C41" s="46"/>
      <c r="D41" s="198" t="s">
        <v>160</v>
      </c>
      <c r="E41" s="137"/>
      <c r="F41" s="138"/>
      <c r="G41" s="138"/>
      <c r="H41" s="142">
        <f>Costs!C30</f>
        <v>0</v>
      </c>
      <c r="I41" s="138"/>
      <c r="J41" s="142">
        <f>Costs!C33</f>
        <v>0</v>
      </c>
      <c r="K41" s="139"/>
      <c r="L41" s="140"/>
      <c r="M41" s="134"/>
      <c r="N41" s="146"/>
      <c r="P41"/>
      <c r="AF41" s="33"/>
    </row>
    <row r="42" spans="1:32" s="29" customFormat="1" ht="26.75" customHeight="1" x14ac:dyDescent="0.7">
      <c r="B42" s="38"/>
      <c r="C42" s="46"/>
      <c r="D42" s="197"/>
      <c r="E42" s="137"/>
      <c r="F42" s="138"/>
      <c r="G42" s="138" t="s">
        <v>14</v>
      </c>
      <c r="H42" s="138"/>
      <c r="I42" s="138" t="s">
        <v>163</v>
      </c>
      <c r="J42" s="138"/>
      <c r="K42" s="139" t="s">
        <v>18</v>
      </c>
      <c r="L42" s="140"/>
      <c r="M42" s="134"/>
      <c r="N42" s="146"/>
      <c r="AF42" s="33"/>
    </row>
    <row r="43" spans="1:32" s="29" customFormat="1" ht="26.75" customHeight="1" thickBot="1" x14ac:dyDescent="0.6">
      <c r="B43" s="32"/>
      <c r="C43" s="47"/>
      <c r="D43" s="147"/>
      <c r="E43" s="148"/>
      <c r="F43" s="149"/>
      <c r="G43" s="150">
        <f>Costs!D73</f>
        <v>361.18840299038811</v>
      </c>
      <c r="H43" s="149"/>
      <c r="I43" s="150">
        <f>Costs!C34+Costs!C23</f>
        <v>206500</v>
      </c>
      <c r="J43" s="149"/>
      <c r="K43" s="151">
        <f>Costs!E69</f>
        <v>13669.011339633002</v>
      </c>
      <c r="L43" s="152"/>
      <c r="M43" s="153"/>
      <c r="N43" s="154"/>
      <c r="AF43" s="33"/>
    </row>
    <row r="44" spans="1:32" s="29" customFormat="1" ht="11.65" customHeight="1" x14ac:dyDescent="0.55000000000000004">
      <c r="B44" s="48"/>
      <c r="C44" s="49"/>
      <c r="D44" s="155"/>
      <c r="E44" s="156"/>
      <c r="F44" s="155"/>
      <c r="G44" s="155"/>
      <c r="H44" s="155"/>
      <c r="I44" s="155"/>
      <c r="J44" s="155"/>
      <c r="K44" s="155"/>
      <c r="L44" s="157"/>
      <c r="M44" s="286" t="e" vm="9">
        <v>#VALUE!</v>
      </c>
      <c r="N44" s="146"/>
      <c r="AF44" s="33"/>
    </row>
    <row r="45" spans="1:32" s="29" customFormat="1" ht="21.75" customHeight="1" x14ac:dyDescent="0.55000000000000004">
      <c r="B45" s="48"/>
      <c r="C45" s="49"/>
      <c r="D45" s="284" t="s">
        <v>37</v>
      </c>
      <c r="E45" s="156"/>
      <c r="F45" s="284" t="s">
        <v>166</v>
      </c>
      <c r="G45" s="155"/>
      <c r="H45" s="284" t="s">
        <v>167</v>
      </c>
      <c r="I45" s="155"/>
      <c r="J45" s="284" t="s">
        <v>168</v>
      </c>
      <c r="K45" s="155"/>
      <c r="L45" s="285" t="s">
        <v>169</v>
      </c>
      <c r="M45" s="287"/>
      <c r="N45" s="146"/>
      <c r="AF45" s="33"/>
    </row>
    <row r="46" spans="1:32" s="17" customFormat="1" ht="31.9" customHeight="1" x14ac:dyDescent="1.05">
      <c r="B46" s="50"/>
      <c r="C46" s="18"/>
      <c r="D46" s="284"/>
      <c r="E46" s="159"/>
      <c r="F46" s="284"/>
      <c r="G46" s="158"/>
      <c r="H46" s="284"/>
      <c r="I46" s="158"/>
      <c r="J46" s="284"/>
      <c r="K46" s="158"/>
      <c r="L46" s="285"/>
      <c r="M46" s="160" t="s">
        <v>16</v>
      </c>
      <c r="N46" s="161"/>
      <c r="AE46" s="29"/>
      <c r="AF46" s="33"/>
    </row>
    <row r="47" spans="1:32" s="29" customFormat="1" ht="34.25" customHeight="1" thickBot="1" x14ac:dyDescent="0.5">
      <c r="A47" s="16"/>
      <c r="B47" s="253"/>
      <c r="C47" s="254"/>
      <c r="D47" s="93">
        <f>Investment!K64</f>
        <v>64641.001568237298</v>
      </c>
      <c r="E47" s="255"/>
      <c r="F47" s="93">
        <f>Investment!K9</f>
        <v>159250</v>
      </c>
      <c r="G47" s="256"/>
      <c r="H47" s="93">
        <f>Investment!K49</f>
        <v>3740</v>
      </c>
      <c r="I47" s="256"/>
      <c r="J47" s="93">
        <f>Investment!K33</f>
        <v>25336.899252402989</v>
      </c>
      <c r="K47" s="256"/>
      <c r="L47" s="257">
        <f>Investment!K73</f>
        <v>1</v>
      </c>
      <c r="M47" s="94">
        <f>Investment!K4</f>
        <v>257829.30106950173</v>
      </c>
      <c r="N47" s="154"/>
      <c r="AF47" s="33"/>
    </row>
    <row r="48" spans="1:32" ht="9" customHeight="1" x14ac:dyDescent="0.45">
      <c r="J48"/>
      <c r="L48"/>
      <c r="M48"/>
      <c r="AE48" s="17"/>
      <c r="AF48" s="17"/>
    </row>
    <row r="49" spans="10:32" x14ac:dyDescent="0.45">
      <c r="J49"/>
      <c r="L49"/>
      <c r="M49"/>
      <c r="AE49" s="29"/>
      <c r="AF49" s="33"/>
    </row>
    <row r="50" spans="10:32" x14ac:dyDescent="0.45">
      <c r="J50"/>
      <c r="L50"/>
      <c r="M50"/>
    </row>
    <row r="51" spans="10:32" x14ac:dyDescent="0.45">
      <c r="J51"/>
      <c r="L51"/>
      <c r="M51"/>
    </row>
    <row r="52" spans="10:32" x14ac:dyDescent="0.45">
      <c r="J52"/>
      <c r="L52"/>
      <c r="M52"/>
    </row>
    <row r="53" spans="10:32" x14ac:dyDescent="0.45">
      <c r="J53"/>
      <c r="L53"/>
      <c r="M53"/>
    </row>
  </sheetData>
  <mergeCells count="21">
    <mergeCell ref="M44:M45"/>
    <mergeCell ref="C26:C27"/>
    <mergeCell ref="C30:C31"/>
    <mergeCell ref="C34:C35"/>
    <mergeCell ref="C39:C40"/>
    <mergeCell ref="E30:G31"/>
    <mergeCell ref="D45:D46"/>
    <mergeCell ref="F45:F46"/>
    <mergeCell ref="H45:H46"/>
    <mergeCell ref="J45:J46"/>
    <mergeCell ref="L45:L46"/>
    <mergeCell ref="P35:Q35"/>
    <mergeCell ref="N30:N31"/>
    <mergeCell ref="D27:D28"/>
    <mergeCell ref="E27:F28"/>
    <mergeCell ref="P3:Q14"/>
    <mergeCell ref="P32:Q33"/>
    <mergeCell ref="P34:Q34"/>
    <mergeCell ref="N32:N33"/>
    <mergeCell ref="B21:D23"/>
    <mergeCell ref="C24:E25"/>
  </mergeCells>
  <conditionalFormatting sqref="S20">
    <cfRule type="cellIs" dxfId="1" priority="1" operator="lessThan">
      <formula>0</formula>
    </cfRule>
  </conditionalFormatting>
  <conditionalFormatting sqref="S3:AC18">
    <cfRule type="cellIs" dxfId="0" priority="2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A8DB43-08FD-4D98-830F-15FA53904E62}">
          <x14:formula1>
            <xm:f>System_Parameters!$A$33:$A$35</xm:f>
          </x14:formula1>
          <xm:sqref>M10</xm:sqref>
        </x14:dataValidation>
        <x14:dataValidation type="list" allowBlank="1" showInputMessage="1" showErrorMessage="1" xr:uid="{19F9D070-8449-4C33-B411-91EF82F96190}">
          <x14:formula1>
            <xm:f>Parameters!$A$55:$A$60</xm:f>
          </x14:formula1>
          <xm:sqref>M11</xm:sqref>
        </x14:dataValidation>
        <x14:dataValidation type="list" allowBlank="1" showInputMessage="1" showErrorMessage="1" xr:uid="{970618B3-1827-4A50-8643-2EB6D1CF28A5}">
          <x14:formula1>
            <xm:f>System_Parameters!$A$19:$A$29</xm:f>
          </x14:formula1>
          <xm:sqref>M9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897C-7279-4B3D-A0A3-43ECC3A62AC4}">
  <sheetPr>
    <tabColor theme="0" tint="-0.34998626667073579"/>
  </sheetPr>
  <dimension ref="A1:R75"/>
  <sheetViews>
    <sheetView showGridLines="0" topLeftCell="A7" zoomScale="90" zoomScaleNormal="90" workbookViewId="0">
      <selection activeCell="R4" sqref="R4"/>
    </sheetView>
  </sheetViews>
  <sheetFormatPr defaultRowHeight="14.25" x14ac:dyDescent="0.45"/>
  <cols>
    <col min="1" max="1" width="15.3984375" customWidth="1"/>
    <col min="2" max="2" width="15.1328125" customWidth="1"/>
    <col min="3" max="13" width="9.33203125" customWidth="1"/>
    <col min="14" max="14" width="12.19921875" customWidth="1"/>
    <col min="15" max="15" width="9.33203125" customWidth="1"/>
    <col min="17" max="17" width="8.265625" customWidth="1"/>
    <col min="18" max="18" width="11" customWidth="1"/>
  </cols>
  <sheetData>
    <row r="1" spans="1:18" ht="18" x14ac:dyDescent="0.55000000000000004">
      <c r="A1" s="226" t="s">
        <v>219</v>
      </c>
      <c r="B1" s="226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</row>
    <row r="3" spans="1:18" ht="42.75" x14ac:dyDescent="0.45">
      <c r="A3" s="2" t="s">
        <v>329</v>
      </c>
      <c r="N3" t="s">
        <v>223</v>
      </c>
      <c r="O3" t="s">
        <v>235</v>
      </c>
      <c r="P3" t="s">
        <v>236</v>
      </c>
      <c r="R3" s="29" t="s">
        <v>237</v>
      </c>
    </row>
    <row r="4" spans="1:18" x14ac:dyDescent="0.45">
      <c r="A4" s="276" t="s">
        <v>221</v>
      </c>
      <c r="B4" s="276"/>
      <c r="E4" s="66">
        <v>3.1</v>
      </c>
      <c r="F4" s="86" t="s">
        <v>222</v>
      </c>
      <c r="N4" s="105">
        <f>TOTAL_AREA</f>
        <v>1000</v>
      </c>
      <c r="O4" s="105">
        <f>N4*(1-E8)</f>
        <v>850</v>
      </c>
      <c r="P4" s="105">
        <f>O4-P8</f>
        <v>684.78106087575657</v>
      </c>
      <c r="Q4" s="78">
        <f>P4/O4</f>
        <v>0.80562477750089012</v>
      </c>
      <c r="R4" s="115">
        <f>P4*K14</f>
        <v>35706.441031378738</v>
      </c>
    </row>
    <row r="5" spans="1:18" x14ac:dyDescent="0.45">
      <c r="A5" s="189" t="s">
        <v>247</v>
      </c>
      <c r="B5" s="189"/>
      <c r="E5" s="66">
        <v>10</v>
      </c>
      <c r="F5" s="86"/>
      <c r="P5" s="105">
        <f>HYDROPONIC_AREA/E7</f>
        <v>136.95621217515131</v>
      </c>
      <c r="Q5" t="s">
        <v>437</v>
      </c>
    </row>
    <row r="6" spans="1:18" x14ac:dyDescent="0.45">
      <c r="A6" s="189" t="s">
        <v>248</v>
      </c>
      <c r="B6" s="189"/>
      <c r="E6" s="66">
        <v>1.2</v>
      </c>
      <c r="F6" s="86"/>
    </row>
    <row r="7" spans="1:18" x14ac:dyDescent="0.45">
      <c r="A7" s="189" t="s">
        <v>436</v>
      </c>
      <c r="B7" s="189"/>
      <c r="E7" s="66">
        <v>5</v>
      </c>
      <c r="F7" s="86"/>
      <c r="P7" t="s">
        <v>231</v>
      </c>
    </row>
    <row r="8" spans="1:18" x14ac:dyDescent="0.45">
      <c r="A8" s="189" t="s">
        <v>234</v>
      </c>
      <c r="B8" s="189"/>
      <c r="E8" s="114">
        <v>0.15</v>
      </c>
      <c r="F8" s="86"/>
      <c r="P8" s="105">
        <f>O4/(1+E4*K14/K19)</f>
        <v>165.21893912424349</v>
      </c>
      <c r="Q8" s="78">
        <f>P8/O4</f>
        <v>0.19437522249910999</v>
      </c>
      <c r="R8" s="115">
        <f>P8*K17</f>
        <v>20101.637593449625</v>
      </c>
    </row>
    <row r="9" spans="1:18" x14ac:dyDescent="0.45">
      <c r="P9" t="s">
        <v>232</v>
      </c>
    </row>
    <row r="10" spans="1:18" ht="14.25" customHeight="1" x14ac:dyDescent="0.45">
      <c r="C10" s="275" t="s">
        <v>206</v>
      </c>
      <c r="D10" s="275" t="s">
        <v>312</v>
      </c>
      <c r="E10" s="275" t="s">
        <v>313</v>
      </c>
      <c r="F10" s="275" t="s">
        <v>308</v>
      </c>
      <c r="G10" s="275" t="s">
        <v>309</v>
      </c>
      <c r="H10" s="275" t="s">
        <v>311</v>
      </c>
      <c r="I10" s="275" t="s">
        <v>207</v>
      </c>
      <c r="J10" s="275" t="s">
        <v>280</v>
      </c>
      <c r="K10" s="275" t="s">
        <v>208</v>
      </c>
      <c r="P10" s="105">
        <f>P8/E6</f>
        <v>137.68244927020291</v>
      </c>
      <c r="Q10" s="105">
        <f>ROUND(P8/E5,0)</f>
        <v>17</v>
      </c>
      <c r="R10" t="s">
        <v>233</v>
      </c>
    </row>
    <row r="11" spans="1:18" x14ac:dyDescent="0.45">
      <c r="C11" s="275"/>
      <c r="D11" s="275"/>
      <c r="E11" s="275"/>
      <c r="F11" s="275"/>
      <c r="G11" s="275"/>
      <c r="H11" s="275"/>
      <c r="I11" s="275"/>
      <c r="J11" s="275"/>
      <c r="K11" s="275"/>
    </row>
    <row r="12" spans="1:18" x14ac:dyDescent="0.45">
      <c r="C12" s="275"/>
      <c r="D12" s="275"/>
      <c r="E12" s="275"/>
      <c r="F12" s="275"/>
      <c r="G12" s="275"/>
      <c r="H12" s="275"/>
      <c r="I12" s="275"/>
      <c r="J12" s="275"/>
      <c r="K12" s="275"/>
    </row>
    <row r="13" spans="1:18" x14ac:dyDescent="0.45">
      <c r="A13" s="85" t="s">
        <v>216</v>
      </c>
      <c r="B13" s="85"/>
    </row>
    <row r="14" spans="1:18" x14ac:dyDescent="0.45">
      <c r="A14" s="105" t="str">
        <f>CHOSEN_GREEN</f>
        <v>Lettuce</v>
      </c>
      <c r="B14" s="105"/>
      <c r="C14" s="105">
        <f>VLOOKUP($A14,$A$19:$H$30,COLUMN(),0)</f>
        <v>35</v>
      </c>
      <c r="D14" s="105">
        <f t="shared" ref="D14:H14" si="0">VLOOKUP($A14,$A$19:$H$30,COLUMN(),0)</f>
        <v>25</v>
      </c>
      <c r="E14" s="105">
        <f t="shared" si="0"/>
        <v>0.2</v>
      </c>
      <c r="F14" s="105">
        <f t="shared" si="0"/>
        <v>7</v>
      </c>
      <c r="G14" s="105">
        <f t="shared" si="0"/>
        <v>24</v>
      </c>
      <c r="H14" s="105">
        <f t="shared" si="0"/>
        <v>18</v>
      </c>
      <c r="I14" s="105">
        <f>365/C14</f>
        <v>10.428571428571429</v>
      </c>
      <c r="J14" s="105">
        <f>E14*D14</f>
        <v>5</v>
      </c>
      <c r="K14" s="105">
        <f>I14*E14*D14</f>
        <v>52.142857142857146</v>
      </c>
    </row>
    <row r="16" spans="1:18" x14ac:dyDescent="0.45">
      <c r="A16" s="85" t="s">
        <v>215</v>
      </c>
      <c r="B16" s="85"/>
    </row>
    <row r="17" spans="1:11" x14ac:dyDescent="0.45">
      <c r="A17" s="105" t="str">
        <f>CHOSEN_FISH</f>
        <v>Tilapia</v>
      </c>
      <c r="B17" s="105"/>
      <c r="C17" s="105">
        <f t="shared" ref="C17:H17" si="1">VLOOKUP($A17,$A$33:$H$36,COLUMN(),0)</f>
        <v>180</v>
      </c>
      <c r="D17" s="105">
        <f t="shared" si="1"/>
        <v>100</v>
      </c>
      <c r="E17" s="105">
        <f t="shared" si="1"/>
        <v>0.6</v>
      </c>
      <c r="F17" s="105">
        <f t="shared" si="1"/>
        <v>11</v>
      </c>
      <c r="G17" s="105">
        <f t="shared" si="1"/>
        <v>35</v>
      </c>
      <c r="H17" s="105">
        <f t="shared" si="1"/>
        <v>29</v>
      </c>
      <c r="I17" s="105">
        <f>365/C17</f>
        <v>2.0277777777777777</v>
      </c>
      <c r="J17" s="105">
        <f>E17*D17</f>
        <v>60</v>
      </c>
      <c r="K17" s="105">
        <f>I17*E17*D17</f>
        <v>121.66666666666666</v>
      </c>
    </row>
    <row r="18" spans="1:11" ht="27.4" customHeight="1" thickBot="1" x14ac:dyDescent="0.5">
      <c r="A18" s="107" t="s">
        <v>17</v>
      </c>
      <c r="B18" s="107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65" thickTop="1" x14ac:dyDescent="0.45">
      <c r="A19" t="s">
        <v>209</v>
      </c>
      <c r="B19" s="85"/>
      <c r="C19" s="66">
        <v>365</v>
      </c>
      <c r="D19" s="66">
        <v>3.9</v>
      </c>
      <c r="E19" s="66">
        <v>10</v>
      </c>
      <c r="F19" s="66">
        <v>13</v>
      </c>
      <c r="G19" s="66">
        <v>32</v>
      </c>
      <c r="H19" s="66">
        <v>23</v>
      </c>
      <c r="I19" s="105">
        <f>365/C19</f>
        <v>1</v>
      </c>
      <c r="J19" s="105">
        <f>E19*D19</f>
        <v>39</v>
      </c>
      <c r="K19" s="105">
        <f>I19*E19*D19</f>
        <v>39</v>
      </c>
    </row>
    <row r="20" spans="1:11" x14ac:dyDescent="0.45">
      <c r="A20" t="s">
        <v>20</v>
      </c>
      <c r="B20" s="85" t="s">
        <v>406</v>
      </c>
      <c r="C20" s="66">
        <v>35</v>
      </c>
      <c r="D20" s="66">
        <v>25</v>
      </c>
      <c r="E20" s="170">
        <v>0.2</v>
      </c>
      <c r="F20" s="66">
        <v>7</v>
      </c>
      <c r="G20" s="66">
        <v>24</v>
      </c>
      <c r="H20" s="66">
        <v>18</v>
      </c>
      <c r="I20" s="105">
        <f t="shared" ref="I20" si="2">365/C20</f>
        <v>10.428571428571429</v>
      </c>
      <c r="J20" s="105">
        <f t="shared" ref="J20" si="3">E20*D20</f>
        <v>5</v>
      </c>
      <c r="K20" s="105">
        <f t="shared" ref="K20" si="4">I20*E20*D20</f>
        <v>52.142857142857146</v>
      </c>
    </row>
    <row r="21" spans="1:11" x14ac:dyDescent="0.45">
      <c r="A21" t="s">
        <v>397</v>
      </c>
      <c r="B21" s="85" t="s">
        <v>407</v>
      </c>
      <c r="C21" s="66">
        <v>28</v>
      </c>
      <c r="D21" s="66">
        <v>16</v>
      </c>
      <c r="E21" s="170">
        <v>0.13231999999999999</v>
      </c>
      <c r="F21" s="66">
        <v>7</v>
      </c>
      <c r="G21" s="66">
        <v>24</v>
      </c>
      <c r="H21" s="66">
        <v>18</v>
      </c>
      <c r="I21" s="105">
        <f t="shared" ref="I21:I29" si="5">365/C21</f>
        <v>13.035714285714286</v>
      </c>
      <c r="J21" s="105">
        <f t="shared" ref="J21:J29" si="6">E21*D21</f>
        <v>2.1171199999999999</v>
      </c>
      <c r="K21" s="105">
        <f t="shared" ref="K21:K29" si="7">I21*E21*D21</f>
        <v>27.59817142857143</v>
      </c>
    </row>
    <row r="22" spans="1:11" x14ac:dyDescent="0.45">
      <c r="A22" t="s">
        <v>398</v>
      </c>
      <c r="B22" s="85" t="s">
        <v>407</v>
      </c>
      <c r="C22" s="66">
        <v>28</v>
      </c>
      <c r="D22" s="66">
        <v>16</v>
      </c>
      <c r="E22" s="170">
        <v>9.8159999999999997E-2</v>
      </c>
      <c r="F22" s="66">
        <v>7</v>
      </c>
      <c r="G22" s="66">
        <v>24</v>
      </c>
      <c r="H22" s="66">
        <v>18</v>
      </c>
      <c r="I22" s="105">
        <f t="shared" si="5"/>
        <v>13.035714285714286</v>
      </c>
      <c r="J22" s="105">
        <f t="shared" si="6"/>
        <v>1.57056</v>
      </c>
      <c r="K22" s="105">
        <f t="shared" si="7"/>
        <v>20.473371428571429</v>
      </c>
    </row>
    <row r="23" spans="1:11" x14ac:dyDescent="0.45">
      <c r="A23" t="s">
        <v>399</v>
      </c>
      <c r="B23" s="85" t="s">
        <v>407</v>
      </c>
      <c r="C23" s="66">
        <v>28</v>
      </c>
      <c r="D23" s="66">
        <v>16</v>
      </c>
      <c r="E23" s="170">
        <v>0.11576</v>
      </c>
      <c r="F23" s="66">
        <v>7</v>
      </c>
      <c r="G23" s="66">
        <v>24</v>
      </c>
      <c r="H23" s="66">
        <v>18</v>
      </c>
      <c r="I23" s="105">
        <f t="shared" si="5"/>
        <v>13.035714285714286</v>
      </c>
      <c r="J23" s="105">
        <f t="shared" si="6"/>
        <v>1.85216</v>
      </c>
      <c r="K23" s="105">
        <f t="shared" si="7"/>
        <v>24.144228571428574</v>
      </c>
    </row>
    <row r="24" spans="1:11" x14ac:dyDescent="0.45">
      <c r="A24" t="s">
        <v>400</v>
      </c>
      <c r="B24" s="85" t="s">
        <v>408</v>
      </c>
      <c r="C24" s="66">
        <v>28</v>
      </c>
      <c r="D24" s="66">
        <v>16</v>
      </c>
      <c r="E24" s="170">
        <v>7.8719999999999998E-2</v>
      </c>
      <c r="F24" s="66">
        <v>7</v>
      </c>
      <c r="G24" s="66">
        <v>24</v>
      </c>
      <c r="H24" s="66">
        <v>18</v>
      </c>
      <c r="I24" s="105">
        <f t="shared" si="5"/>
        <v>13.035714285714286</v>
      </c>
      <c r="J24" s="105">
        <f t="shared" si="6"/>
        <v>1.25952</v>
      </c>
      <c r="K24" s="105">
        <f t="shared" si="7"/>
        <v>16.418742857142856</v>
      </c>
    </row>
    <row r="25" spans="1:11" x14ac:dyDescent="0.45">
      <c r="A25" t="s">
        <v>401</v>
      </c>
      <c r="B25" s="85" t="s">
        <v>406</v>
      </c>
      <c r="C25" s="66">
        <v>28</v>
      </c>
      <c r="D25" s="66">
        <v>16</v>
      </c>
      <c r="E25" s="170">
        <v>7.8719999999999998E-2</v>
      </c>
      <c r="F25" s="66">
        <v>7</v>
      </c>
      <c r="G25" s="66">
        <v>24</v>
      </c>
      <c r="H25" s="66">
        <v>18</v>
      </c>
      <c r="I25" s="105">
        <f t="shared" si="5"/>
        <v>13.035714285714286</v>
      </c>
      <c r="J25" s="105">
        <f t="shared" si="6"/>
        <v>1.25952</v>
      </c>
      <c r="K25" s="105">
        <f t="shared" si="7"/>
        <v>16.418742857142856</v>
      </c>
    </row>
    <row r="26" spans="1:11" x14ac:dyDescent="0.45">
      <c r="A26" t="s">
        <v>402</v>
      </c>
      <c r="B26" s="85" t="s">
        <v>411</v>
      </c>
      <c r="C26" s="66">
        <v>28</v>
      </c>
      <c r="D26" s="66">
        <v>16</v>
      </c>
      <c r="E26" s="170">
        <v>3.5869999999999999E-2</v>
      </c>
      <c r="F26" s="66">
        <v>7</v>
      </c>
      <c r="G26" s="66">
        <v>24</v>
      </c>
      <c r="H26" s="66">
        <v>18</v>
      </c>
      <c r="I26" s="105">
        <f t="shared" si="5"/>
        <v>13.035714285714286</v>
      </c>
      <c r="J26" s="105">
        <f t="shared" si="6"/>
        <v>0.57391999999999999</v>
      </c>
      <c r="K26" s="105">
        <f t="shared" si="7"/>
        <v>7.4814571428571428</v>
      </c>
    </row>
    <row r="27" spans="1:11" x14ac:dyDescent="0.45">
      <c r="A27" t="s">
        <v>403</v>
      </c>
      <c r="B27" s="85" t="s">
        <v>409</v>
      </c>
      <c r="C27" s="66">
        <v>28</v>
      </c>
      <c r="D27" s="66">
        <v>16</v>
      </c>
      <c r="E27" s="170">
        <v>4.206E-2</v>
      </c>
      <c r="F27" s="66">
        <v>7</v>
      </c>
      <c r="G27" s="66">
        <v>24</v>
      </c>
      <c r="H27" s="66">
        <v>18</v>
      </c>
      <c r="I27" s="105">
        <f t="shared" si="5"/>
        <v>13.035714285714286</v>
      </c>
      <c r="J27" s="105">
        <f t="shared" si="6"/>
        <v>0.67296</v>
      </c>
      <c r="K27" s="105">
        <f t="shared" si="7"/>
        <v>8.772514285714287</v>
      </c>
    </row>
    <row r="28" spans="1:11" x14ac:dyDescent="0.45">
      <c r="A28" t="s">
        <v>404</v>
      </c>
      <c r="B28" s="85" t="s">
        <v>410</v>
      </c>
      <c r="C28" s="66">
        <v>28</v>
      </c>
      <c r="D28" s="66">
        <v>16</v>
      </c>
      <c r="E28" s="170">
        <v>7.3689999999999992E-2</v>
      </c>
      <c r="F28" s="66">
        <v>7</v>
      </c>
      <c r="G28" s="66">
        <v>24</v>
      </c>
      <c r="H28" s="66">
        <v>18</v>
      </c>
      <c r="I28" s="105">
        <f t="shared" si="5"/>
        <v>13.035714285714286</v>
      </c>
      <c r="J28" s="105">
        <f t="shared" si="6"/>
        <v>1.1790399999999999</v>
      </c>
      <c r="K28" s="105">
        <f t="shared" si="7"/>
        <v>15.369628571428571</v>
      </c>
    </row>
    <row r="29" spans="1:11" x14ac:dyDescent="0.45">
      <c r="A29" t="s">
        <v>405</v>
      </c>
      <c r="B29" s="85" t="s">
        <v>412</v>
      </c>
      <c r="C29" s="66">
        <v>28</v>
      </c>
      <c r="D29" s="66">
        <v>16</v>
      </c>
      <c r="E29" s="170">
        <v>2.5250000000000002E-2</v>
      </c>
      <c r="F29" s="66">
        <v>7</v>
      </c>
      <c r="G29" s="66">
        <v>24</v>
      </c>
      <c r="H29" s="66">
        <v>18</v>
      </c>
      <c r="I29" s="105">
        <f t="shared" si="5"/>
        <v>13.035714285714286</v>
      </c>
      <c r="J29" s="105">
        <f t="shared" si="6"/>
        <v>0.40400000000000003</v>
      </c>
      <c r="K29" s="105">
        <f t="shared" si="7"/>
        <v>5.2664285714285723</v>
      </c>
    </row>
    <row r="31" spans="1:11" x14ac:dyDescent="0.45">
      <c r="C31" s="66"/>
      <c r="D31" s="66"/>
      <c r="E31" s="66"/>
      <c r="F31" s="66"/>
      <c r="G31" s="66"/>
      <c r="H31" s="66"/>
    </row>
    <row r="32" spans="1:11" ht="14.65" thickBot="1" x14ac:dyDescent="0.5">
      <c r="A32" s="107" t="s">
        <v>218</v>
      </c>
      <c r="B32" s="107"/>
      <c r="C32" s="108"/>
      <c r="D32" s="108"/>
      <c r="E32" s="108"/>
      <c r="F32" s="108"/>
      <c r="G32" s="108"/>
      <c r="H32" s="108"/>
    </row>
    <row r="33" spans="1:18" ht="14.65" thickTop="1" x14ac:dyDescent="0.45">
      <c r="A33" t="s">
        <v>19</v>
      </c>
      <c r="C33" s="98">
        <v>180</v>
      </c>
      <c r="D33" s="66">
        <v>100</v>
      </c>
      <c r="E33" s="66">
        <v>0.6</v>
      </c>
      <c r="F33" s="66">
        <v>11</v>
      </c>
      <c r="G33" s="66">
        <v>35</v>
      </c>
      <c r="H33" s="66">
        <v>29</v>
      </c>
    </row>
    <row r="34" spans="1:18" x14ac:dyDescent="0.45">
      <c r="A34" t="s">
        <v>135</v>
      </c>
      <c r="C34" s="98">
        <v>365</v>
      </c>
      <c r="D34" s="98">
        <v>22</v>
      </c>
      <c r="E34" s="171">
        <v>0.5</v>
      </c>
      <c r="F34" s="98">
        <v>0</v>
      </c>
      <c r="G34" s="98">
        <v>21</v>
      </c>
      <c r="H34" s="98">
        <v>14</v>
      </c>
    </row>
    <row r="35" spans="1:18" x14ac:dyDescent="0.45">
      <c r="C35" s="5"/>
      <c r="D35" s="5"/>
      <c r="E35" s="5"/>
      <c r="F35" s="5"/>
      <c r="G35" s="5"/>
      <c r="H35" s="5"/>
    </row>
    <row r="36" spans="1:18" ht="14.65" thickBot="1" x14ac:dyDescent="0.5">
      <c r="A36" s="107" t="s">
        <v>36</v>
      </c>
      <c r="B36" s="107"/>
      <c r="C36" s="108"/>
      <c r="D36" s="108"/>
      <c r="E36" s="108"/>
      <c r="F36" s="108"/>
      <c r="G36" s="108"/>
      <c r="H36" s="108"/>
    </row>
    <row r="37" spans="1:18" ht="14.65" thickTop="1" x14ac:dyDescent="0.45">
      <c r="A37" t="s">
        <v>310</v>
      </c>
      <c r="C37" s="98"/>
      <c r="D37" s="66"/>
      <c r="E37" s="66"/>
      <c r="F37" s="66">
        <v>10</v>
      </c>
      <c r="G37" s="66">
        <v>49</v>
      </c>
      <c r="H37" s="66">
        <v>27</v>
      </c>
    </row>
    <row r="38" spans="1:18" x14ac:dyDescent="0.45">
      <c r="C38" s="98"/>
      <c r="D38" s="66"/>
      <c r="E38" s="66"/>
      <c r="F38" s="66"/>
      <c r="G38" s="66"/>
      <c r="H38" s="66"/>
      <c r="I38" s="66"/>
    </row>
    <row r="39" spans="1:18" ht="20.25" customHeight="1" x14ac:dyDescent="0.45">
      <c r="A39" s="251" t="s">
        <v>38</v>
      </c>
      <c r="B39" s="251"/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</row>
    <row r="40" spans="1:18" x14ac:dyDescent="0.45">
      <c r="A40" s="2" t="s">
        <v>262</v>
      </c>
      <c r="B40" s="2"/>
    </row>
    <row r="41" spans="1:18" x14ac:dyDescent="0.45">
      <c r="A41" t="s">
        <v>268</v>
      </c>
      <c r="C41" s="103">
        <v>1000</v>
      </c>
      <c r="D41" t="s">
        <v>265</v>
      </c>
      <c r="E41" t="s">
        <v>264</v>
      </c>
      <c r="G41" t="s">
        <v>266</v>
      </c>
    </row>
    <row r="42" spans="1:18" x14ac:dyDescent="0.45">
      <c r="A42" t="s">
        <v>269</v>
      </c>
      <c r="C42" s="103">
        <v>4186</v>
      </c>
      <c r="D42" t="s">
        <v>267</v>
      </c>
      <c r="O42" t="s">
        <v>324</v>
      </c>
    </row>
    <row r="43" spans="1:18" x14ac:dyDescent="0.45">
      <c r="A43" t="s">
        <v>272</v>
      </c>
      <c r="C43" s="170">
        <f>(5+0.5)/2</f>
        <v>2.75</v>
      </c>
      <c r="D43" t="s">
        <v>273</v>
      </c>
      <c r="E43" t="s">
        <v>270</v>
      </c>
      <c r="G43" t="s">
        <v>271</v>
      </c>
      <c r="O43" s="191">
        <f>SUM(D71:O72)</f>
        <v>6348.4299481243361</v>
      </c>
      <c r="P43" t="s">
        <v>325</v>
      </c>
    </row>
    <row r="44" spans="1:18" x14ac:dyDescent="0.45">
      <c r="A44" s="193" t="s">
        <v>330</v>
      </c>
      <c r="C44" s="170">
        <f>(2.5+4)/2</f>
        <v>3.25</v>
      </c>
      <c r="O44" t="s">
        <v>327</v>
      </c>
    </row>
    <row r="45" spans="1:18" x14ac:dyDescent="0.45">
      <c r="A45" s="194" t="s">
        <v>282</v>
      </c>
      <c r="B45" s="195"/>
      <c r="C45" s="196"/>
      <c r="D45" s="195" t="s">
        <v>274</v>
      </c>
      <c r="E45" s="195"/>
      <c r="F45" s="195"/>
      <c r="G45" s="195" t="s">
        <v>281</v>
      </c>
      <c r="H45" s="195"/>
      <c r="I45" s="195"/>
      <c r="J45" t="s">
        <v>331</v>
      </c>
      <c r="K45" s="179"/>
      <c r="O45" s="191">
        <f>-SUM(D75:O75)</f>
        <v>531.15941616233545</v>
      </c>
      <c r="P45" t="s">
        <v>326</v>
      </c>
      <c r="Q45" s="191">
        <f>O45/1000*O4</f>
        <v>451.48550373798508</v>
      </c>
      <c r="R45" t="s">
        <v>358</v>
      </c>
    </row>
    <row r="46" spans="1:18" x14ac:dyDescent="0.45">
      <c r="A46" t="s">
        <v>328</v>
      </c>
      <c r="C46" s="103">
        <v>3600000</v>
      </c>
    </row>
    <row r="48" spans="1:18" x14ac:dyDescent="0.45">
      <c r="A48" s="2" t="s">
        <v>14</v>
      </c>
      <c r="C48" s="98"/>
      <c r="I48" s="179"/>
    </row>
    <row r="49" spans="1:15" x14ac:dyDescent="0.45">
      <c r="A49" t="s">
        <v>317</v>
      </c>
      <c r="C49" s="192">
        <v>0.03</v>
      </c>
    </row>
    <row r="50" spans="1:15" x14ac:dyDescent="0.45">
      <c r="A50" s="2" t="s">
        <v>319</v>
      </c>
      <c r="C50" s="170">
        <v>1</v>
      </c>
    </row>
    <row r="51" spans="1:15" x14ac:dyDescent="0.45">
      <c r="A51" s="189" t="s">
        <v>318</v>
      </c>
      <c r="B51" s="189"/>
      <c r="C51" s="170">
        <v>1</v>
      </c>
      <c r="D51" s="86"/>
    </row>
    <row r="52" spans="1:15" x14ac:dyDescent="0.45">
      <c r="A52" s="189" t="s">
        <v>321</v>
      </c>
      <c r="B52" s="189"/>
      <c r="C52" s="98">
        <v>1</v>
      </c>
      <c r="D52" s="86" t="s">
        <v>322</v>
      </c>
    </row>
    <row r="53" spans="1:15" x14ac:dyDescent="0.45">
      <c r="A53" s="189"/>
      <c r="B53" s="189"/>
      <c r="C53" s="98"/>
      <c r="D53" s="86"/>
    </row>
    <row r="54" spans="1:15" x14ac:dyDescent="0.45">
      <c r="A54" s="189"/>
      <c r="B54" s="189"/>
      <c r="C54" s="170"/>
      <c r="D54" s="86"/>
    </row>
    <row r="55" spans="1:15" x14ac:dyDescent="0.45">
      <c r="B55" s="184" t="str">
        <f>Location_Data!B1</f>
        <v>Votuporanga</v>
      </c>
      <c r="D55" s="188">
        <v>46023</v>
      </c>
      <c r="E55" s="188">
        <v>46054</v>
      </c>
      <c r="F55" s="188">
        <v>46082</v>
      </c>
      <c r="G55" s="188">
        <v>46113</v>
      </c>
      <c r="H55" s="188">
        <v>46143</v>
      </c>
      <c r="I55" s="188">
        <v>46174</v>
      </c>
      <c r="J55" s="188">
        <v>46204</v>
      </c>
      <c r="K55" s="188">
        <v>46235</v>
      </c>
      <c r="L55" s="188">
        <v>46266</v>
      </c>
      <c r="M55" s="188">
        <v>46296</v>
      </c>
      <c r="N55" s="188">
        <v>46327</v>
      </c>
      <c r="O55" s="188">
        <v>46357</v>
      </c>
    </row>
    <row r="56" spans="1:15" x14ac:dyDescent="0.45">
      <c r="A56" t="s">
        <v>261</v>
      </c>
      <c r="B56" t="s">
        <v>340</v>
      </c>
      <c r="C56" t="s">
        <v>339</v>
      </c>
      <c r="D56" s="183">
        <f>Location_Data!C7</f>
        <v>26.6</v>
      </c>
      <c r="E56" s="183">
        <f>Location_Data!C8</f>
        <v>26.3</v>
      </c>
      <c r="F56" s="183">
        <f>Location_Data!C9</f>
        <v>26.8</v>
      </c>
      <c r="G56" s="183">
        <f>Location_Data!C10</f>
        <v>25.7</v>
      </c>
      <c r="H56" s="183">
        <f>Location_Data!C11</f>
        <v>23.3</v>
      </c>
      <c r="I56" s="183">
        <f>Location_Data!C12</f>
        <v>21.4</v>
      </c>
      <c r="J56" s="183">
        <f>Location_Data!C13</f>
        <v>22.5</v>
      </c>
      <c r="K56" s="183">
        <f>Location_Data!C14</f>
        <v>24.2</v>
      </c>
      <c r="L56" s="183">
        <f>Location_Data!C15</f>
        <v>28.2</v>
      </c>
      <c r="M56" s="183">
        <f>Location_Data!C16</f>
        <v>27.6</v>
      </c>
      <c r="N56" s="183">
        <f>Location_Data!C17</f>
        <v>27.2</v>
      </c>
      <c r="O56" s="183">
        <f>Location_Data!C18</f>
        <v>27.2</v>
      </c>
    </row>
    <row r="57" spans="1:15" x14ac:dyDescent="0.45">
      <c r="B57" t="s">
        <v>286</v>
      </c>
      <c r="C57" t="s">
        <v>323</v>
      </c>
      <c r="D57" s="183">
        <f>Location_Data!E7</f>
        <v>122</v>
      </c>
      <c r="E57" s="183">
        <f>Location_Data!E8</f>
        <v>139</v>
      </c>
      <c r="F57" s="183">
        <f>Location_Data!E9</f>
        <v>117</v>
      </c>
      <c r="G57" s="183">
        <f>Location_Data!E10</f>
        <v>71</v>
      </c>
      <c r="H57" s="183">
        <f>Location_Data!E11</f>
        <v>14</v>
      </c>
      <c r="I57" s="183">
        <f>Location_Data!E12</f>
        <v>63</v>
      </c>
      <c r="J57" s="183">
        <f>Location_Data!E13</f>
        <v>4</v>
      </c>
      <c r="K57" s="183">
        <f>Location_Data!E14</f>
        <v>11</v>
      </c>
      <c r="L57" s="183">
        <f>Location_Data!E15</f>
        <v>42</v>
      </c>
      <c r="M57" s="183">
        <f>Location_Data!E16</f>
        <v>107</v>
      </c>
      <c r="N57" s="183">
        <f>Location_Data!E17</f>
        <v>152</v>
      </c>
      <c r="O57" s="183">
        <f>Location_Data!E18</f>
        <v>170</v>
      </c>
    </row>
    <row r="58" spans="1:15" x14ac:dyDescent="0.45">
      <c r="B58" t="s">
        <v>288</v>
      </c>
      <c r="C58" t="s">
        <v>323</v>
      </c>
      <c r="D58" s="183">
        <f>Location_Data!F7</f>
        <v>160</v>
      </c>
      <c r="E58" s="183">
        <f>Location_Data!F8</f>
        <v>149</v>
      </c>
      <c r="F58" s="183">
        <f>Location_Data!F9</f>
        <v>151</v>
      </c>
      <c r="G58" s="183">
        <f>Location_Data!F10</f>
        <v>126</v>
      </c>
      <c r="H58" s="183">
        <f>Location_Data!F11</f>
        <v>121</v>
      </c>
      <c r="I58" s="183">
        <f>Location_Data!F12</f>
        <v>113</v>
      </c>
      <c r="J58" s="183">
        <f>Location_Data!F13</f>
        <v>127</v>
      </c>
      <c r="K58" s="183">
        <f>Location_Data!F14</f>
        <v>161</v>
      </c>
      <c r="L58" s="183">
        <f>Location_Data!F15</f>
        <v>190</v>
      </c>
      <c r="M58" s="183">
        <f>Location_Data!F16</f>
        <v>180</v>
      </c>
      <c r="N58" s="183">
        <f>Location_Data!F17</f>
        <v>179</v>
      </c>
      <c r="O58" s="183">
        <f>Location_Data!F18</f>
        <v>159</v>
      </c>
    </row>
    <row r="59" spans="1:15" x14ac:dyDescent="0.45">
      <c r="A59" t="s">
        <v>0</v>
      </c>
      <c r="B59" t="s">
        <v>4</v>
      </c>
      <c r="C59" t="s">
        <v>339</v>
      </c>
      <c r="D59" s="183">
        <f>F17</f>
        <v>11</v>
      </c>
      <c r="E59" s="183">
        <f>D59</f>
        <v>11</v>
      </c>
      <c r="F59" s="183">
        <f t="shared" ref="F59:O59" si="8">E59</f>
        <v>11</v>
      </c>
      <c r="G59" s="183">
        <f t="shared" si="8"/>
        <v>11</v>
      </c>
      <c r="H59" s="183">
        <f t="shared" si="8"/>
        <v>11</v>
      </c>
      <c r="I59" s="183">
        <f t="shared" si="8"/>
        <v>11</v>
      </c>
      <c r="J59" s="183">
        <f t="shared" si="8"/>
        <v>11</v>
      </c>
      <c r="K59" s="183">
        <f t="shared" si="8"/>
        <v>11</v>
      </c>
      <c r="L59" s="183">
        <f t="shared" si="8"/>
        <v>11</v>
      </c>
      <c r="M59" s="183">
        <f t="shared" si="8"/>
        <v>11</v>
      </c>
      <c r="N59" s="183">
        <f t="shared" ref="N59:N68" si="9">M59</f>
        <v>11</v>
      </c>
      <c r="O59" s="183">
        <f t="shared" si="8"/>
        <v>11</v>
      </c>
    </row>
    <row r="60" spans="1:15" x14ac:dyDescent="0.45">
      <c r="A60" s="105" t="str">
        <f>CHOSEN_FISH</f>
        <v>Tilapia</v>
      </c>
      <c r="B60" t="s">
        <v>5</v>
      </c>
      <c r="C60" t="s">
        <v>339</v>
      </c>
      <c r="D60" s="183">
        <f>G17</f>
        <v>35</v>
      </c>
      <c r="E60" s="183">
        <f t="shared" ref="E60:O67" si="10">D60</f>
        <v>35</v>
      </c>
      <c r="F60" s="183">
        <f t="shared" si="10"/>
        <v>35</v>
      </c>
      <c r="G60" s="183">
        <f t="shared" si="10"/>
        <v>35</v>
      </c>
      <c r="H60" s="183">
        <f t="shared" si="10"/>
        <v>35</v>
      </c>
      <c r="I60" s="183">
        <f t="shared" si="10"/>
        <v>35</v>
      </c>
      <c r="J60" s="183">
        <f t="shared" si="10"/>
        <v>35</v>
      </c>
      <c r="K60" s="183">
        <f t="shared" si="10"/>
        <v>35</v>
      </c>
      <c r="L60" s="183">
        <f t="shared" si="10"/>
        <v>35</v>
      </c>
      <c r="M60" s="183">
        <f t="shared" si="10"/>
        <v>35</v>
      </c>
      <c r="N60" s="183">
        <f t="shared" si="9"/>
        <v>35</v>
      </c>
      <c r="O60" s="183">
        <f t="shared" si="10"/>
        <v>35</v>
      </c>
    </row>
    <row r="61" spans="1:15" x14ac:dyDescent="0.45">
      <c r="B61" t="s">
        <v>314</v>
      </c>
      <c r="C61" t="s">
        <v>339</v>
      </c>
      <c r="D61" s="183">
        <f>H17</f>
        <v>29</v>
      </c>
      <c r="E61" s="183">
        <f t="shared" si="10"/>
        <v>29</v>
      </c>
      <c r="F61" s="183">
        <f t="shared" si="10"/>
        <v>29</v>
      </c>
      <c r="G61" s="183">
        <f t="shared" si="10"/>
        <v>29</v>
      </c>
      <c r="H61" s="183">
        <f t="shared" si="10"/>
        <v>29</v>
      </c>
      <c r="I61" s="183">
        <f t="shared" si="10"/>
        <v>29</v>
      </c>
      <c r="J61" s="183">
        <f t="shared" si="10"/>
        <v>29</v>
      </c>
      <c r="K61" s="183">
        <f t="shared" si="10"/>
        <v>29</v>
      </c>
      <c r="L61" s="183">
        <f t="shared" si="10"/>
        <v>29</v>
      </c>
      <c r="M61" s="183">
        <f t="shared" si="10"/>
        <v>29</v>
      </c>
      <c r="N61" s="183">
        <f t="shared" si="9"/>
        <v>29</v>
      </c>
      <c r="O61" s="183">
        <f t="shared" si="10"/>
        <v>29</v>
      </c>
    </row>
    <row r="62" spans="1:15" x14ac:dyDescent="0.45">
      <c r="A62" t="s">
        <v>36</v>
      </c>
      <c r="B62" t="s">
        <v>4</v>
      </c>
      <c r="C62" t="s">
        <v>339</v>
      </c>
      <c r="D62" s="183">
        <f>F37</f>
        <v>10</v>
      </c>
      <c r="E62" s="183">
        <f t="shared" si="10"/>
        <v>10</v>
      </c>
      <c r="F62" s="183">
        <f t="shared" si="10"/>
        <v>10</v>
      </c>
      <c r="G62" s="183">
        <f t="shared" si="10"/>
        <v>10</v>
      </c>
      <c r="H62" s="183">
        <f t="shared" si="10"/>
        <v>10</v>
      </c>
      <c r="I62" s="183">
        <f t="shared" si="10"/>
        <v>10</v>
      </c>
      <c r="J62" s="183">
        <f t="shared" si="10"/>
        <v>10</v>
      </c>
      <c r="K62" s="183">
        <f t="shared" si="10"/>
        <v>10</v>
      </c>
      <c r="L62" s="183">
        <f t="shared" si="10"/>
        <v>10</v>
      </c>
      <c r="M62" s="183">
        <f t="shared" si="10"/>
        <v>10</v>
      </c>
      <c r="N62" s="183">
        <f t="shared" si="9"/>
        <v>10</v>
      </c>
      <c r="O62" s="183">
        <f t="shared" si="10"/>
        <v>10</v>
      </c>
    </row>
    <row r="63" spans="1:15" x14ac:dyDescent="0.45">
      <c r="B63" t="s">
        <v>5</v>
      </c>
      <c r="C63" t="s">
        <v>339</v>
      </c>
      <c r="D63" s="183">
        <f>G37</f>
        <v>49</v>
      </c>
      <c r="E63" s="183">
        <f t="shared" si="10"/>
        <v>49</v>
      </c>
      <c r="F63" s="183">
        <f t="shared" si="10"/>
        <v>49</v>
      </c>
      <c r="G63" s="183">
        <f t="shared" si="10"/>
        <v>49</v>
      </c>
      <c r="H63" s="183">
        <f t="shared" si="10"/>
        <v>49</v>
      </c>
      <c r="I63" s="183">
        <f t="shared" si="10"/>
        <v>49</v>
      </c>
      <c r="J63" s="183">
        <f t="shared" si="10"/>
        <v>49</v>
      </c>
      <c r="K63" s="183">
        <f t="shared" si="10"/>
        <v>49</v>
      </c>
      <c r="L63" s="183">
        <f t="shared" si="10"/>
        <v>49</v>
      </c>
      <c r="M63" s="183">
        <f t="shared" si="10"/>
        <v>49</v>
      </c>
      <c r="N63" s="183">
        <f t="shared" si="9"/>
        <v>49</v>
      </c>
      <c r="O63" s="183">
        <f t="shared" si="10"/>
        <v>49</v>
      </c>
    </row>
    <row r="64" spans="1:15" x14ac:dyDescent="0.45">
      <c r="B64" t="s">
        <v>314</v>
      </c>
      <c r="C64" t="s">
        <v>339</v>
      </c>
      <c r="D64" s="183">
        <f>H37</f>
        <v>27</v>
      </c>
      <c r="E64" s="183">
        <f t="shared" si="10"/>
        <v>27</v>
      </c>
      <c r="F64" s="183">
        <f t="shared" si="10"/>
        <v>27</v>
      </c>
      <c r="G64" s="183">
        <f t="shared" si="10"/>
        <v>27</v>
      </c>
      <c r="H64" s="183">
        <f t="shared" si="10"/>
        <v>27</v>
      </c>
      <c r="I64" s="183">
        <f t="shared" si="10"/>
        <v>27</v>
      </c>
      <c r="J64" s="183">
        <f t="shared" si="10"/>
        <v>27</v>
      </c>
      <c r="K64" s="183">
        <f t="shared" si="10"/>
        <v>27</v>
      </c>
      <c r="L64" s="183">
        <f t="shared" si="10"/>
        <v>27</v>
      </c>
      <c r="M64" s="183">
        <f t="shared" si="10"/>
        <v>27</v>
      </c>
      <c r="N64" s="183">
        <f t="shared" si="9"/>
        <v>27</v>
      </c>
      <c r="O64" s="183">
        <f t="shared" si="10"/>
        <v>27</v>
      </c>
    </row>
    <row r="65" spans="1:16" x14ac:dyDescent="0.45">
      <c r="A65" t="s">
        <v>17</v>
      </c>
      <c r="B65" t="s">
        <v>4</v>
      </c>
      <c r="C65" t="s">
        <v>339</v>
      </c>
      <c r="D65" s="183">
        <f>F14</f>
        <v>7</v>
      </c>
      <c r="E65" s="183">
        <f t="shared" si="10"/>
        <v>7</v>
      </c>
      <c r="F65" s="183">
        <f t="shared" si="10"/>
        <v>7</v>
      </c>
      <c r="G65" s="183">
        <f t="shared" si="10"/>
        <v>7</v>
      </c>
      <c r="H65" s="183">
        <f t="shared" si="10"/>
        <v>7</v>
      </c>
      <c r="I65" s="183">
        <f t="shared" si="10"/>
        <v>7</v>
      </c>
      <c r="J65" s="183">
        <f t="shared" si="10"/>
        <v>7</v>
      </c>
      <c r="K65" s="183">
        <f t="shared" si="10"/>
        <v>7</v>
      </c>
      <c r="L65" s="183">
        <f t="shared" si="10"/>
        <v>7</v>
      </c>
      <c r="M65" s="183">
        <f t="shared" si="10"/>
        <v>7</v>
      </c>
      <c r="N65" s="183">
        <f t="shared" si="9"/>
        <v>7</v>
      </c>
      <c r="O65" s="183">
        <f t="shared" si="10"/>
        <v>7</v>
      </c>
    </row>
    <row r="66" spans="1:16" x14ac:dyDescent="0.45">
      <c r="A66" s="105" t="str">
        <f>CHOSEN_GREEN</f>
        <v>Lettuce</v>
      </c>
      <c r="B66" t="s">
        <v>5</v>
      </c>
      <c r="C66" t="s">
        <v>339</v>
      </c>
      <c r="D66" s="183">
        <f>G14</f>
        <v>24</v>
      </c>
      <c r="E66" s="183">
        <f t="shared" si="10"/>
        <v>24</v>
      </c>
      <c r="F66" s="183">
        <f t="shared" si="10"/>
        <v>24</v>
      </c>
      <c r="G66" s="183">
        <f t="shared" si="10"/>
        <v>24</v>
      </c>
      <c r="H66" s="183">
        <f t="shared" si="10"/>
        <v>24</v>
      </c>
      <c r="I66" s="183">
        <f t="shared" si="10"/>
        <v>24</v>
      </c>
      <c r="J66" s="183">
        <f t="shared" si="10"/>
        <v>24</v>
      </c>
      <c r="K66" s="183">
        <f t="shared" si="10"/>
        <v>24</v>
      </c>
      <c r="L66" s="183">
        <f t="shared" si="10"/>
        <v>24</v>
      </c>
      <c r="M66" s="183">
        <f t="shared" si="10"/>
        <v>24</v>
      </c>
      <c r="N66" s="183">
        <f t="shared" si="9"/>
        <v>24</v>
      </c>
      <c r="O66" s="183">
        <f t="shared" si="10"/>
        <v>24</v>
      </c>
    </row>
    <row r="67" spans="1:16" x14ac:dyDescent="0.45">
      <c r="B67" t="s">
        <v>314</v>
      </c>
      <c r="C67" t="s">
        <v>339</v>
      </c>
      <c r="D67" s="183">
        <f>H14</f>
        <v>18</v>
      </c>
      <c r="E67" s="183">
        <f t="shared" si="10"/>
        <v>18</v>
      </c>
      <c r="F67" s="183">
        <f t="shared" si="10"/>
        <v>18</v>
      </c>
      <c r="G67" s="183">
        <f t="shared" si="10"/>
        <v>18</v>
      </c>
      <c r="H67" s="183">
        <f t="shared" si="10"/>
        <v>18</v>
      </c>
      <c r="I67" s="183">
        <f t="shared" si="10"/>
        <v>18</v>
      </c>
      <c r="J67" s="183">
        <f t="shared" si="10"/>
        <v>18</v>
      </c>
      <c r="K67" s="183">
        <f t="shared" si="10"/>
        <v>18</v>
      </c>
      <c r="L67" s="183">
        <f t="shared" si="10"/>
        <v>18</v>
      </c>
      <c r="M67" s="183">
        <f t="shared" si="10"/>
        <v>18</v>
      </c>
      <c r="N67" s="183">
        <f t="shared" si="9"/>
        <v>18</v>
      </c>
      <c r="O67" s="183">
        <f t="shared" si="10"/>
        <v>18</v>
      </c>
    </row>
    <row r="68" spans="1:16" x14ac:dyDescent="0.45">
      <c r="A68" s="302" t="s">
        <v>263</v>
      </c>
      <c r="B68" t="s">
        <v>314</v>
      </c>
      <c r="C68" t="s">
        <v>339</v>
      </c>
      <c r="D68" s="185">
        <f>IF(AVERAGE(D67,D64,D61)&gt;MAX(D60,D63,D66),MAX(D60,D63,D66),IF(AVERAGE(D67,D64,D61)&lt;MIN(D59,D62,D65),MIN(D59,D62,D65),AVERAGE(D67,D64,D61)))</f>
        <v>24.666666666666668</v>
      </c>
      <c r="E68" s="185">
        <f>D68</f>
        <v>24.666666666666668</v>
      </c>
      <c r="F68" s="185">
        <f t="shared" ref="F68:O68" si="11">E68</f>
        <v>24.666666666666668</v>
      </c>
      <c r="G68" s="185">
        <f t="shared" si="11"/>
        <v>24.666666666666668</v>
      </c>
      <c r="H68" s="185">
        <f t="shared" si="11"/>
        <v>24.666666666666668</v>
      </c>
      <c r="I68" s="185">
        <f t="shared" si="11"/>
        <v>24.666666666666668</v>
      </c>
      <c r="J68" s="185">
        <f t="shared" si="11"/>
        <v>24.666666666666668</v>
      </c>
      <c r="K68" s="185">
        <f t="shared" si="11"/>
        <v>24.666666666666668</v>
      </c>
      <c r="L68" s="185">
        <f t="shared" si="11"/>
        <v>24.666666666666668</v>
      </c>
      <c r="M68" s="185">
        <f t="shared" si="11"/>
        <v>24.666666666666668</v>
      </c>
      <c r="N68" s="185">
        <f t="shared" si="9"/>
        <v>24.666666666666668</v>
      </c>
      <c r="O68" s="185">
        <f t="shared" si="11"/>
        <v>24.666666666666668</v>
      </c>
    </row>
    <row r="69" spans="1:16" x14ac:dyDescent="0.45">
      <c r="A69" s="302"/>
      <c r="B69" t="s">
        <v>316</v>
      </c>
      <c r="C69" t="s">
        <v>339</v>
      </c>
      <c r="D69" s="185">
        <f>D68-D56</f>
        <v>-1.9333333333333336</v>
      </c>
      <c r="E69" s="185">
        <f t="shared" ref="E69:O69" si="12">E68-E56</f>
        <v>-1.6333333333333329</v>
      </c>
      <c r="F69" s="185">
        <f t="shared" si="12"/>
        <v>-2.1333333333333329</v>
      </c>
      <c r="G69" s="185">
        <f t="shared" si="12"/>
        <v>-1.0333333333333314</v>
      </c>
      <c r="H69" s="185">
        <f t="shared" si="12"/>
        <v>1.3666666666666671</v>
      </c>
      <c r="I69" s="185">
        <f t="shared" si="12"/>
        <v>3.2666666666666693</v>
      </c>
      <c r="J69" s="185">
        <f t="shared" si="12"/>
        <v>2.1666666666666679</v>
      </c>
      <c r="K69" s="185">
        <f t="shared" si="12"/>
        <v>0.46666666666666856</v>
      </c>
      <c r="L69" s="185">
        <f t="shared" si="12"/>
        <v>-3.5333333333333314</v>
      </c>
      <c r="M69" s="185">
        <f t="shared" si="12"/>
        <v>-2.9333333333333336</v>
      </c>
      <c r="N69" s="185">
        <f t="shared" si="12"/>
        <v>-2.5333333333333314</v>
      </c>
      <c r="O69" s="185">
        <f t="shared" si="12"/>
        <v>-2.5333333333333314</v>
      </c>
      <c r="P69" s="191" cm="1">
        <f t="array" ref="P69">SUMPRODUCT(ABS(D69:O69))</f>
        <v>25.533333333333331</v>
      </c>
    </row>
    <row r="70" spans="1:16" x14ac:dyDescent="0.45">
      <c r="A70" s="302"/>
      <c r="B70" s="26" t="s">
        <v>315</v>
      </c>
      <c r="C70" t="s">
        <v>283</v>
      </c>
      <c r="D70" s="190">
        <f t="shared" ref="D70:O70" si="13">0.04643*$J$14^0.7882*25^1.837*DAY(EOMONTH(D55,0))/86.4/3600</f>
        <v>6.085385391602487E-3</v>
      </c>
      <c r="E70" s="190">
        <f t="shared" si="13"/>
        <v>5.4964771278990208E-3</v>
      </c>
      <c r="F70" s="190">
        <f t="shared" si="13"/>
        <v>6.085385391602487E-3</v>
      </c>
      <c r="G70" s="190">
        <f t="shared" si="13"/>
        <v>5.8890826370346658E-3</v>
      </c>
      <c r="H70" s="190">
        <f t="shared" si="13"/>
        <v>6.085385391602487E-3</v>
      </c>
      <c r="I70" s="190">
        <f t="shared" si="13"/>
        <v>5.8890826370346658E-3</v>
      </c>
      <c r="J70" s="190">
        <f t="shared" si="13"/>
        <v>6.085385391602487E-3</v>
      </c>
      <c r="K70" s="190">
        <f t="shared" si="13"/>
        <v>6.085385391602487E-3</v>
      </c>
      <c r="L70" s="190">
        <f t="shared" si="13"/>
        <v>5.8890826370346658E-3</v>
      </c>
      <c r="M70" s="190">
        <f t="shared" si="13"/>
        <v>6.085385391602487E-3</v>
      </c>
      <c r="N70" s="190">
        <f t="shared" si="13"/>
        <v>5.8890826370346658E-3</v>
      </c>
      <c r="O70" s="190">
        <f t="shared" si="13"/>
        <v>6.085385391602487E-3</v>
      </c>
    </row>
    <row r="71" spans="1:16" x14ac:dyDescent="0.45">
      <c r="A71" s="302"/>
      <c r="B71" t="s">
        <v>284</v>
      </c>
      <c r="C71" t="s">
        <v>283</v>
      </c>
      <c r="D71" s="182">
        <f t="shared" ref="D71:O71" si="14">IF(D69+D70&lt;0,0,$P$10*$C$41*$C$42*(ABS(D69+D70))/$C$46 + $C$43*$P$8*(ABS(D69+D70))*24*DAY(EOMONTH(D55,0))/$C$41)</f>
        <v>0</v>
      </c>
      <c r="E71" s="182">
        <f t="shared" si="14"/>
        <v>0</v>
      </c>
      <c r="F71" s="182">
        <f t="shared" si="14"/>
        <v>0</v>
      </c>
      <c r="G71" s="182">
        <f t="shared" si="14"/>
        <v>0</v>
      </c>
      <c r="H71" s="182">
        <f t="shared" si="14"/>
        <v>683.81178264502853</v>
      </c>
      <c r="I71" s="182">
        <f t="shared" si="14"/>
        <v>1594.4794569850919</v>
      </c>
      <c r="J71" s="182">
        <f t="shared" si="14"/>
        <v>1082.3174161247171</v>
      </c>
      <c r="K71" s="182">
        <f t="shared" si="14"/>
        <v>235.49294498037983</v>
      </c>
      <c r="L71" s="182">
        <f t="shared" si="14"/>
        <v>0</v>
      </c>
      <c r="M71" s="182">
        <f t="shared" si="14"/>
        <v>0</v>
      </c>
      <c r="N71" s="182">
        <f t="shared" si="14"/>
        <v>0</v>
      </c>
      <c r="O71" s="182">
        <f t="shared" si="14"/>
        <v>0</v>
      </c>
    </row>
    <row r="72" spans="1:16" x14ac:dyDescent="0.45">
      <c r="A72" s="302"/>
      <c r="B72" t="s">
        <v>285</v>
      </c>
      <c r="C72" t="s">
        <v>283</v>
      </c>
      <c r="D72" s="182">
        <f t="shared" ref="D72:O72" si="15">IF(D69+D70&lt;0,($P$10*$C$41*$C$42*(ABS(D69+D70))/$C$46 + $C$43*$P$8*(ABS(D69+D70))*24*DAY(EOMONTH(D55,0))/$C$41)/$C$44,0)</f>
        <v>295.39198629498031</v>
      </c>
      <c r="E72" s="182">
        <f t="shared" si="15"/>
        <v>233.11560007588972</v>
      </c>
      <c r="F72" s="182">
        <f t="shared" si="15"/>
        <v>326.04626579341777</v>
      </c>
      <c r="G72" s="182">
        <f t="shared" si="15"/>
        <v>154.03051939839153</v>
      </c>
      <c r="H72" s="182">
        <f t="shared" si="15"/>
        <v>0</v>
      </c>
      <c r="I72" s="182">
        <f t="shared" si="15"/>
        <v>0</v>
      </c>
      <c r="J72" s="182">
        <f t="shared" si="15"/>
        <v>0</v>
      </c>
      <c r="K72" s="182">
        <f t="shared" si="15"/>
        <v>0</v>
      </c>
      <c r="L72" s="182">
        <f t="shared" si="15"/>
        <v>528.82097468101472</v>
      </c>
      <c r="M72" s="182">
        <f t="shared" si="15"/>
        <v>448.66338378716813</v>
      </c>
      <c r="N72" s="182">
        <f t="shared" si="15"/>
        <v>378.9047925679655</v>
      </c>
      <c r="O72" s="182">
        <f t="shared" si="15"/>
        <v>387.3548247902927</v>
      </c>
    </row>
    <row r="73" spans="1:16" x14ac:dyDescent="0.45">
      <c r="A73" t="s">
        <v>287</v>
      </c>
      <c r="B73" t="s">
        <v>289</v>
      </c>
      <c r="C73" t="s">
        <v>323</v>
      </c>
      <c r="D73" s="182">
        <f t="shared" ref="D73:O73" si="16">$P$10*$C$49+($P$4*D58*$C$51+$P$10*D58*$C$50)/1000</f>
        <v>135.72463510145963</v>
      </c>
      <c r="E73" s="182">
        <f t="shared" si="16"/>
        <v>126.67753648985405</v>
      </c>
      <c r="F73" s="182">
        <f t="shared" si="16"/>
        <v>128.32246351014595</v>
      </c>
      <c r="G73" s="182">
        <f t="shared" si="16"/>
        <v>107.76087575649697</v>
      </c>
      <c r="H73" s="182">
        <f t="shared" si="16"/>
        <v>103.64855820576717</v>
      </c>
      <c r="I73" s="182">
        <f t="shared" si="16"/>
        <v>97.068850124599507</v>
      </c>
      <c r="J73" s="182">
        <f t="shared" si="16"/>
        <v>108.58333926664292</v>
      </c>
      <c r="K73" s="182">
        <f t="shared" si="16"/>
        <v>136.54709861160558</v>
      </c>
      <c r="L73" s="182">
        <f t="shared" si="16"/>
        <v>160.39854040583839</v>
      </c>
      <c r="M73" s="182">
        <f t="shared" si="16"/>
        <v>152.17390530437882</v>
      </c>
      <c r="N73" s="182">
        <f t="shared" si="16"/>
        <v>151.35144179423287</v>
      </c>
      <c r="O73" s="182">
        <f t="shared" si="16"/>
        <v>134.90217159131365</v>
      </c>
    </row>
    <row r="74" spans="1:16" x14ac:dyDescent="0.45">
      <c r="B74" t="s">
        <v>290</v>
      </c>
      <c r="C74" t="s">
        <v>323</v>
      </c>
      <c r="D74" s="182">
        <f>D57</f>
        <v>122</v>
      </c>
      <c r="E74" s="182">
        <f t="shared" ref="E74:O74" si="17">E57</f>
        <v>139</v>
      </c>
      <c r="F74" s="182">
        <f t="shared" si="17"/>
        <v>117</v>
      </c>
      <c r="G74" s="182">
        <f t="shared" si="17"/>
        <v>71</v>
      </c>
      <c r="H74" s="182">
        <f t="shared" si="17"/>
        <v>14</v>
      </c>
      <c r="I74" s="182">
        <f t="shared" si="17"/>
        <v>63</v>
      </c>
      <c r="J74" s="182">
        <f t="shared" si="17"/>
        <v>4</v>
      </c>
      <c r="K74" s="182">
        <f t="shared" si="17"/>
        <v>11</v>
      </c>
      <c r="L74" s="182">
        <f t="shared" si="17"/>
        <v>42</v>
      </c>
      <c r="M74" s="182">
        <f t="shared" si="17"/>
        <v>107</v>
      </c>
      <c r="N74" s="182">
        <f t="shared" si="17"/>
        <v>152</v>
      </c>
      <c r="O74" s="182">
        <f t="shared" si="17"/>
        <v>170</v>
      </c>
    </row>
    <row r="75" spans="1:16" x14ac:dyDescent="0.45">
      <c r="B75" t="s">
        <v>320</v>
      </c>
      <c r="C75" t="s">
        <v>323</v>
      </c>
      <c r="D75" s="182">
        <f t="shared" ref="D75:O75" si="18">D74*$C$52-D73</f>
        <v>-13.724635101459626</v>
      </c>
      <c r="E75" s="182">
        <f t="shared" si="18"/>
        <v>12.322463510145951</v>
      </c>
      <c r="F75" s="182">
        <f t="shared" si="18"/>
        <v>-11.322463510145951</v>
      </c>
      <c r="G75" s="182">
        <f t="shared" si="18"/>
        <v>-36.760875756496972</v>
      </c>
      <c r="H75" s="182">
        <f t="shared" si="18"/>
        <v>-89.648558205767173</v>
      </c>
      <c r="I75" s="182">
        <f t="shared" si="18"/>
        <v>-34.068850124599507</v>
      </c>
      <c r="J75" s="182">
        <f t="shared" si="18"/>
        <v>-104.58333926664292</v>
      </c>
      <c r="K75" s="182">
        <f t="shared" si="18"/>
        <v>-125.54709861160558</v>
      </c>
      <c r="L75" s="182">
        <f t="shared" si="18"/>
        <v>-118.39854040583839</v>
      </c>
      <c r="M75" s="182">
        <f t="shared" si="18"/>
        <v>-45.17390530437882</v>
      </c>
      <c r="N75" s="182">
        <f t="shared" si="18"/>
        <v>0.64855820576713086</v>
      </c>
      <c r="O75" s="182">
        <f t="shared" si="18"/>
        <v>35.097828408686354</v>
      </c>
    </row>
  </sheetData>
  <mergeCells count="11">
    <mergeCell ref="A68:A72"/>
    <mergeCell ref="A4:B4"/>
    <mergeCell ref="K10:K12"/>
    <mergeCell ref="C10:C12"/>
    <mergeCell ref="D10:D12"/>
    <mergeCell ref="E10:E12"/>
    <mergeCell ref="F10:F12"/>
    <mergeCell ref="G10:G12"/>
    <mergeCell ref="H10:H12"/>
    <mergeCell ref="I10:I12"/>
    <mergeCell ref="J10:J1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D30B-C80D-4DC2-ACBC-9590FA36F4FB}">
  <sheetPr>
    <tabColor rgb="FFFFC000"/>
  </sheetPr>
  <dimension ref="A1:U78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F5" sqref="F5"/>
    </sheetView>
  </sheetViews>
  <sheetFormatPr defaultRowHeight="14.25" outlineLevelRow="1" x14ac:dyDescent="0.45"/>
  <cols>
    <col min="1" max="1" width="21.9296875" customWidth="1"/>
    <col min="2" max="2" width="13.6640625" bestFit="1" customWidth="1"/>
    <col min="3" max="3" width="14.796875" customWidth="1"/>
    <col min="4" max="6" width="15.86328125" customWidth="1"/>
    <col min="7" max="7" width="11.19921875" customWidth="1"/>
    <col min="8" max="8" width="12.796875" customWidth="1"/>
    <col min="9" max="9" width="13.6640625" bestFit="1" customWidth="1"/>
    <col min="10" max="10" width="5.46484375" customWidth="1"/>
    <col min="11" max="20" width="12.265625" customWidth="1"/>
    <col min="21" max="21" width="11.1328125" bestFit="1" customWidth="1"/>
  </cols>
  <sheetData>
    <row r="1" spans="1:21" ht="18" x14ac:dyDescent="0.55000000000000004">
      <c r="A1" s="67" t="s">
        <v>188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18" customHeight="1" x14ac:dyDescent="0.45">
      <c r="A2" s="303" t="s">
        <v>191</v>
      </c>
      <c r="B2" s="105">
        <f>System_Parameters!P8</f>
        <v>165.21893912424349</v>
      </c>
      <c r="C2" t="s">
        <v>21</v>
      </c>
    </row>
    <row r="3" spans="1:21" ht="18" customHeight="1" x14ac:dyDescent="0.45">
      <c r="A3" s="303"/>
      <c r="B3" s="105">
        <f>System_Parameters!P10</f>
        <v>137.68244927020291</v>
      </c>
      <c r="C3" t="s">
        <v>213</v>
      </c>
    </row>
    <row r="4" spans="1:21" ht="18" customHeight="1" x14ac:dyDescent="0.55000000000000004">
      <c r="A4" s="303"/>
      <c r="B4" s="105">
        <f>System_Parameters!Q10</f>
        <v>17</v>
      </c>
      <c r="C4" t="s">
        <v>246</v>
      </c>
      <c r="D4" s="68"/>
      <c r="E4" s="68"/>
      <c r="F4" s="60" t="s">
        <v>452</v>
      </c>
      <c r="G4" s="68"/>
      <c r="H4" s="68"/>
      <c r="J4" s="92" t="s">
        <v>189</v>
      </c>
      <c r="K4" s="81">
        <f>SUM(K5:K7)</f>
        <v>257829.30106950173</v>
      </c>
      <c r="L4" s="174">
        <f>SUM(L5:L7)</f>
        <v>14947.887500000001</v>
      </c>
      <c r="M4" s="174">
        <f t="shared" ref="M4:U4" si="0">SUM(M5:M7)</f>
        <v>19149.019308472765</v>
      </c>
      <c r="N4" s="174">
        <f t="shared" si="0"/>
        <v>17048.453404236381</v>
      </c>
      <c r="O4" s="174">
        <f t="shared" si="0"/>
        <v>19149.019308472765</v>
      </c>
      <c r="P4" s="174">
        <f t="shared" si="0"/>
        <v>17252.953404236381</v>
      </c>
      <c r="Q4" s="174">
        <f t="shared" si="0"/>
        <v>21249.585212709149</v>
      </c>
      <c r="R4" s="174">
        <f t="shared" si="0"/>
        <v>14947.887500000001</v>
      </c>
      <c r="S4" s="174">
        <f t="shared" si="0"/>
        <v>19149.019308472765</v>
      </c>
      <c r="T4" s="174">
        <f t="shared" si="0"/>
        <v>17048.453404236381</v>
      </c>
      <c r="U4" s="174">
        <f t="shared" si="0"/>
        <v>32013.471560163762</v>
      </c>
    </row>
    <row r="5" spans="1:21" ht="18" customHeight="1" x14ac:dyDescent="0.5">
      <c r="A5" s="84" t="s">
        <v>192</v>
      </c>
      <c r="B5" s="105">
        <f>System_Parameters!P4</f>
        <v>684.78106087575657</v>
      </c>
      <c r="C5" t="s">
        <v>21</v>
      </c>
      <c r="D5" s="68"/>
      <c r="E5" s="68"/>
      <c r="F5" s="105">
        <f>SUMPRODUCT(F11:F74,C11:C74)</f>
        <v>60986.601281594878</v>
      </c>
      <c r="G5" s="68"/>
      <c r="H5" s="68"/>
      <c r="K5" s="20">
        <f>K9+K33+K49+K64+K73</f>
        <v>252968.90082064029</v>
      </c>
      <c r="L5" s="20">
        <f t="shared" ref="L5:U5" si="1">L9+L33+L49</f>
        <v>14620</v>
      </c>
      <c r="M5" s="20">
        <f t="shared" si="1"/>
        <v>18728.68636525454</v>
      </c>
      <c r="N5" s="20">
        <f t="shared" si="1"/>
        <v>16674.343182627268</v>
      </c>
      <c r="O5" s="20">
        <f t="shared" si="1"/>
        <v>18728.68636525454</v>
      </c>
      <c r="P5" s="20">
        <f t="shared" si="1"/>
        <v>16874.343182627268</v>
      </c>
      <c r="Q5" s="20">
        <f t="shared" si="1"/>
        <v>20783.029547881808</v>
      </c>
      <c r="R5" s="20">
        <f t="shared" si="1"/>
        <v>14620</v>
      </c>
      <c r="S5" s="20">
        <f t="shared" si="1"/>
        <v>18728.68636525454</v>
      </c>
      <c r="T5" s="20">
        <f t="shared" si="1"/>
        <v>16674.343182627268</v>
      </c>
      <c r="U5" s="20">
        <f t="shared" si="1"/>
        <v>31330.840156639373</v>
      </c>
    </row>
    <row r="6" spans="1:21" ht="18" customHeight="1" x14ac:dyDescent="0.45">
      <c r="A6" t="s">
        <v>390</v>
      </c>
      <c r="B6" s="222">
        <v>0.01</v>
      </c>
      <c r="J6" s="84" t="s">
        <v>122</v>
      </c>
      <c r="K6" s="79">
        <f t="shared" ref="K6:U6" si="2">MAINTENANCE_PERCENTAGE*K5</f>
        <v>2529.6890082064028</v>
      </c>
      <c r="L6" s="79">
        <f t="shared" si="2"/>
        <v>146.20000000000002</v>
      </c>
      <c r="M6" s="79">
        <f t="shared" si="2"/>
        <v>187.28686365254541</v>
      </c>
      <c r="N6" s="79">
        <f t="shared" si="2"/>
        <v>166.74343182627268</v>
      </c>
      <c r="O6" s="79">
        <f t="shared" si="2"/>
        <v>187.28686365254541</v>
      </c>
      <c r="P6" s="79">
        <f t="shared" si="2"/>
        <v>168.74343182627268</v>
      </c>
      <c r="Q6" s="79">
        <f t="shared" si="2"/>
        <v>207.83029547881807</v>
      </c>
      <c r="R6" s="79">
        <f t="shared" si="2"/>
        <v>146.20000000000002</v>
      </c>
      <c r="S6" s="79">
        <f t="shared" si="2"/>
        <v>187.28686365254541</v>
      </c>
      <c r="T6" s="79">
        <f t="shared" si="2"/>
        <v>166.74343182627268</v>
      </c>
      <c r="U6" s="79">
        <f t="shared" si="2"/>
        <v>313.30840156639374</v>
      </c>
    </row>
    <row r="7" spans="1:21" ht="18" customHeight="1" x14ac:dyDescent="0.55000000000000004">
      <c r="A7" t="s">
        <v>439</v>
      </c>
      <c r="B7" s="222">
        <v>2.5000000000000001E-2</v>
      </c>
      <c r="C7" s="92"/>
      <c r="G7" s="84" t="s">
        <v>388</v>
      </c>
      <c r="H7" s="230">
        <f>MAX(H10:H74)</f>
        <v>1.1100000000000001</v>
      </c>
      <c r="J7" s="84" t="s">
        <v>194</v>
      </c>
      <c r="K7" s="79">
        <f t="shared" ref="K7:U7" si="3">($I9*K9+$I33*K33+$I49*K49)*PARTS_PERCENTAGE</f>
        <v>2330.7112406550377</v>
      </c>
      <c r="L7" s="79">
        <f t="shared" si="3"/>
        <v>181.6875</v>
      </c>
      <c r="M7" s="79">
        <f t="shared" si="3"/>
        <v>233.04607956568177</v>
      </c>
      <c r="N7" s="79">
        <f t="shared" si="3"/>
        <v>207.36678978284087</v>
      </c>
      <c r="O7" s="79">
        <f t="shared" si="3"/>
        <v>233.04607956568177</v>
      </c>
      <c r="P7" s="79">
        <f t="shared" si="3"/>
        <v>209.86678978284087</v>
      </c>
      <c r="Q7" s="79">
        <f t="shared" si="3"/>
        <v>258.72536934852263</v>
      </c>
      <c r="R7" s="79">
        <f t="shared" si="3"/>
        <v>181.6875</v>
      </c>
      <c r="S7" s="79">
        <f t="shared" si="3"/>
        <v>233.04607956568177</v>
      </c>
      <c r="T7" s="79">
        <f t="shared" si="3"/>
        <v>207.36678978284087</v>
      </c>
      <c r="U7" s="79">
        <f t="shared" si="3"/>
        <v>369.32300195799218</v>
      </c>
    </row>
    <row r="8" spans="1:21" ht="28.5" x14ac:dyDescent="0.45">
      <c r="A8" s="2" t="s">
        <v>66</v>
      </c>
      <c r="B8" s="60" t="s">
        <v>15</v>
      </c>
      <c r="C8" s="5" t="s">
        <v>250</v>
      </c>
      <c r="D8" s="60" t="s">
        <v>249</v>
      </c>
      <c r="E8" s="60" t="s">
        <v>451</v>
      </c>
      <c r="F8" s="60" t="s">
        <v>325</v>
      </c>
      <c r="G8" s="209" t="s">
        <v>420</v>
      </c>
      <c r="H8" s="209" t="s">
        <v>421</v>
      </c>
      <c r="I8" s="60" t="s">
        <v>190</v>
      </c>
      <c r="J8" s="166" t="s">
        <v>251</v>
      </c>
      <c r="K8" s="5">
        <v>0</v>
      </c>
      <c r="L8" s="5">
        <v>1</v>
      </c>
      <c r="M8" s="5">
        <v>2</v>
      </c>
      <c r="N8" s="5">
        <v>3</v>
      </c>
      <c r="O8" s="5">
        <v>4</v>
      </c>
      <c r="P8" s="5">
        <v>5</v>
      </c>
      <c r="Q8" s="5">
        <v>6</v>
      </c>
      <c r="R8" s="5">
        <v>7</v>
      </c>
      <c r="S8" s="5">
        <v>8</v>
      </c>
      <c r="T8" s="5">
        <v>9</v>
      </c>
      <c r="U8" s="5">
        <v>10</v>
      </c>
    </row>
    <row r="9" spans="1:21" ht="15.75" customHeight="1" x14ac:dyDescent="0.45">
      <c r="A9" s="258" t="s">
        <v>166</v>
      </c>
      <c r="B9" s="167"/>
      <c r="C9" s="167"/>
      <c r="D9" s="164"/>
      <c r="E9" s="164"/>
      <c r="F9" s="164"/>
      <c r="G9" s="164"/>
      <c r="H9" s="164"/>
      <c r="I9" s="77">
        <f>SUMPRODUCT(C11:C31,I11:I31)/SUM(C11:C31)</f>
        <v>0.5</v>
      </c>
      <c r="K9" s="174">
        <f t="shared" ref="K9:U9" si="4">K10+K22</f>
        <v>159250</v>
      </c>
      <c r="L9" s="174">
        <f t="shared" si="4"/>
        <v>14450</v>
      </c>
      <c r="M9" s="174">
        <f t="shared" si="4"/>
        <v>14450</v>
      </c>
      <c r="N9" s="174">
        <f t="shared" si="4"/>
        <v>14450</v>
      </c>
      <c r="O9" s="174">
        <f t="shared" si="4"/>
        <v>14450</v>
      </c>
      <c r="P9" s="174">
        <f t="shared" si="4"/>
        <v>14650</v>
      </c>
      <c r="Q9" s="174">
        <f t="shared" si="4"/>
        <v>14450</v>
      </c>
      <c r="R9" s="174">
        <f t="shared" si="4"/>
        <v>14450</v>
      </c>
      <c r="S9" s="174">
        <f t="shared" si="4"/>
        <v>14450</v>
      </c>
      <c r="T9" s="174">
        <f t="shared" si="4"/>
        <v>14450</v>
      </c>
      <c r="U9" s="174">
        <f t="shared" si="4"/>
        <v>14750</v>
      </c>
    </row>
    <row r="10" spans="1:21" ht="14.25" customHeight="1" x14ac:dyDescent="0.45">
      <c r="A10" s="2" t="s">
        <v>100</v>
      </c>
      <c r="B10" s="5"/>
      <c r="C10" s="5"/>
      <c r="D10" s="5"/>
      <c r="E10" s="5"/>
      <c r="F10" s="5"/>
      <c r="G10" s="5"/>
      <c r="H10" s="5"/>
      <c r="K10" s="174">
        <f t="shared" ref="K10:U10" si="5">SUM(K11:K21)</f>
        <v>300</v>
      </c>
      <c r="L10" s="174">
        <f t="shared" si="5"/>
        <v>0</v>
      </c>
      <c r="M10" s="174">
        <f t="shared" si="5"/>
        <v>0</v>
      </c>
      <c r="N10" s="174">
        <f t="shared" si="5"/>
        <v>0</v>
      </c>
      <c r="O10" s="174">
        <f t="shared" si="5"/>
        <v>0</v>
      </c>
      <c r="P10" s="174">
        <f t="shared" si="5"/>
        <v>200</v>
      </c>
      <c r="Q10" s="174">
        <f t="shared" si="5"/>
        <v>0</v>
      </c>
      <c r="R10" s="174">
        <f t="shared" si="5"/>
        <v>0</v>
      </c>
      <c r="S10" s="174">
        <f t="shared" si="5"/>
        <v>0</v>
      </c>
      <c r="T10" s="174">
        <f t="shared" si="5"/>
        <v>0</v>
      </c>
      <c r="U10" s="174">
        <f t="shared" si="5"/>
        <v>300</v>
      </c>
    </row>
    <row r="11" spans="1:21" x14ac:dyDescent="0.45">
      <c r="A11" s="163" t="s">
        <v>79</v>
      </c>
      <c r="B11" s="66">
        <v>100</v>
      </c>
      <c r="C11" s="99">
        <v>1</v>
      </c>
      <c r="D11" s="66">
        <v>10</v>
      </c>
      <c r="E11" s="66"/>
      <c r="F11" s="105"/>
      <c r="G11" s="164"/>
      <c r="H11" s="164"/>
      <c r="I11" s="99">
        <v>0</v>
      </c>
      <c r="K11" s="79">
        <f>(MOD(K$8,$D11)=0)*$B11*$C11</f>
        <v>100</v>
      </c>
      <c r="L11" s="79">
        <f t="shared" ref="L11:U21" si="6">(MOD(L$8,$D11)=0)*$B11*$C11</f>
        <v>0</v>
      </c>
      <c r="M11" s="79">
        <f t="shared" si="6"/>
        <v>0</v>
      </c>
      <c r="N11" s="79">
        <f t="shared" si="6"/>
        <v>0</v>
      </c>
      <c r="O11" s="79">
        <f t="shared" si="6"/>
        <v>0</v>
      </c>
      <c r="P11" s="79">
        <f t="shared" si="6"/>
        <v>0</v>
      </c>
      <c r="Q11" s="79">
        <f t="shared" si="6"/>
        <v>0</v>
      </c>
      <c r="R11" s="79">
        <f t="shared" si="6"/>
        <v>0</v>
      </c>
      <c r="S11" s="79">
        <f t="shared" si="6"/>
        <v>0</v>
      </c>
      <c r="T11" s="79">
        <f t="shared" si="6"/>
        <v>0</v>
      </c>
      <c r="U11" s="79">
        <f t="shared" si="6"/>
        <v>100</v>
      </c>
    </row>
    <row r="12" spans="1:21" x14ac:dyDescent="0.45">
      <c r="A12" s="163" t="s">
        <v>88</v>
      </c>
      <c r="B12" s="66">
        <v>100</v>
      </c>
      <c r="C12" s="99">
        <v>1</v>
      </c>
      <c r="D12" s="66">
        <v>5</v>
      </c>
      <c r="E12" s="66"/>
      <c r="F12" s="105"/>
      <c r="G12" s="164"/>
      <c r="H12" s="164"/>
      <c r="I12" s="99">
        <v>0</v>
      </c>
      <c r="K12" s="79">
        <f t="shared" ref="K12:K21" si="7">(MOD(K$8,$D12)=0)*$B12*$C12</f>
        <v>100</v>
      </c>
      <c r="L12" s="79">
        <f t="shared" si="6"/>
        <v>0</v>
      </c>
      <c r="M12" s="79">
        <f t="shared" si="6"/>
        <v>0</v>
      </c>
      <c r="N12" s="79">
        <f t="shared" si="6"/>
        <v>0</v>
      </c>
      <c r="O12" s="79">
        <f t="shared" si="6"/>
        <v>0</v>
      </c>
      <c r="P12" s="79">
        <f t="shared" si="6"/>
        <v>100</v>
      </c>
      <c r="Q12" s="79">
        <f t="shared" si="6"/>
        <v>0</v>
      </c>
      <c r="R12" s="79">
        <f t="shared" si="6"/>
        <v>0</v>
      </c>
      <c r="S12" s="79">
        <f t="shared" si="6"/>
        <v>0</v>
      </c>
      <c r="T12" s="79">
        <f t="shared" si="6"/>
        <v>0</v>
      </c>
      <c r="U12" s="79">
        <f t="shared" si="6"/>
        <v>100</v>
      </c>
    </row>
    <row r="13" spans="1:21" x14ac:dyDescent="0.45">
      <c r="A13" s="163" t="s">
        <v>23</v>
      </c>
      <c r="B13" s="66">
        <v>100</v>
      </c>
      <c r="C13" s="99">
        <v>1</v>
      </c>
      <c r="D13" s="66">
        <v>5</v>
      </c>
      <c r="E13" s="66"/>
      <c r="F13" s="105"/>
      <c r="G13" s="164"/>
      <c r="H13" s="164"/>
      <c r="I13" s="99">
        <v>1</v>
      </c>
      <c r="K13" s="79">
        <f t="shared" si="7"/>
        <v>100</v>
      </c>
      <c r="L13" s="79">
        <f t="shared" si="6"/>
        <v>0</v>
      </c>
      <c r="M13" s="79">
        <f t="shared" si="6"/>
        <v>0</v>
      </c>
      <c r="N13" s="79">
        <f t="shared" si="6"/>
        <v>0</v>
      </c>
      <c r="O13" s="79">
        <f t="shared" si="6"/>
        <v>0</v>
      </c>
      <c r="P13" s="79">
        <f t="shared" si="6"/>
        <v>100</v>
      </c>
      <c r="Q13" s="79">
        <f t="shared" si="6"/>
        <v>0</v>
      </c>
      <c r="R13" s="79">
        <f t="shared" si="6"/>
        <v>0</v>
      </c>
      <c r="S13" s="79">
        <f t="shared" si="6"/>
        <v>0</v>
      </c>
      <c r="T13" s="79">
        <f t="shared" si="6"/>
        <v>0</v>
      </c>
      <c r="U13" s="79">
        <f t="shared" si="6"/>
        <v>100</v>
      </c>
    </row>
    <row r="14" spans="1:21" outlineLevel="1" x14ac:dyDescent="0.45">
      <c r="A14" s="163" t="s">
        <v>80</v>
      </c>
      <c r="B14" s="66"/>
      <c r="C14" s="66">
        <v>1</v>
      </c>
      <c r="D14" s="66">
        <v>5</v>
      </c>
      <c r="E14" s="66"/>
      <c r="F14" s="105"/>
      <c r="G14" s="66"/>
      <c r="H14" s="66">
        <f t="shared" ref="H14:H21" si="8">C14*G14</f>
        <v>0</v>
      </c>
      <c r="I14" s="66">
        <v>1</v>
      </c>
      <c r="K14" s="79">
        <f t="shared" si="7"/>
        <v>0</v>
      </c>
      <c r="L14" s="79">
        <f t="shared" si="6"/>
        <v>0</v>
      </c>
      <c r="M14" s="79">
        <f t="shared" si="6"/>
        <v>0</v>
      </c>
      <c r="N14" s="79">
        <f t="shared" si="6"/>
        <v>0</v>
      </c>
      <c r="O14" s="79">
        <f t="shared" si="6"/>
        <v>0</v>
      </c>
      <c r="P14" s="79">
        <f t="shared" si="6"/>
        <v>0</v>
      </c>
      <c r="Q14" s="79">
        <f t="shared" si="6"/>
        <v>0</v>
      </c>
      <c r="R14" s="79">
        <f t="shared" si="6"/>
        <v>0</v>
      </c>
      <c r="S14" s="79">
        <f t="shared" si="6"/>
        <v>0</v>
      </c>
      <c r="T14" s="79">
        <f t="shared" si="6"/>
        <v>0</v>
      </c>
      <c r="U14" s="79">
        <f t="shared" si="6"/>
        <v>0</v>
      </c>
    </row>
    <row r="15" spans="1:21" outlineLevel="1" x14ac:dyDescent="0.45">
      <c r="A15" s="163" t="s">
        <v>83</v>
      </c>
      <c r="B15" s="66"/>
      <c r="C15" s="66">
        <v>0</v>
      </c>
      <c r="D15" s="66">
        <v>10</v>
      </c>
      <c r="E15" s="66"/>
      <c r="F15" s="105"/>
      <c r="G15" s="66"/>
      <c r="H15" s="66">
        <f t="shared" si="8"/>
        <v>0</v>
      </c>
      <c r="I15" s="66">
        <v>0</v>
      </c>
      <c r="K15" s="79">
        <f t="shared" si="7"/>
        <v>0</v>
      </c>
      <c r="L15" s="79">
        <f t="shared" si="6"/>
        <v>0</v>
      </c>
      <c r="M15" s="79">
        <f t="shared" si="6"/>
        <v>0</v>
      </c>
      <c r="N15" s="79">
        <f t="shared" si="6"/>
        <v>0</v>
      </c>
      <c r="O15" s="79">
        <f t="shared" si="6"/>
        <v>0</v>
      </c>
      <c r="P15" s="79">
        <f t="shared" si="6"/>
        <v>0</v>
      </c>
      <c r="Q15" s="79">
        <f t="shared" si="6"/>
        <v>0</v>
      </c>
      <c r="R15" s="79">
        <f t="shared" si="6"/>
        <v>0</v>
      </c>
      <c r="S15" s="79">
        <f t="shared" si="6"/>
        <v>0</v>
      </c>
      <c r="T15" s="79">
        <f t="shared" si="6"/>
        <v>0</v>
      </c>
      <c r="U15" s="79">
        <f t="shared" si="6"/>
        <v>0</v>
      </c>
    </row>
    <row r="16" spans="1:21" outlineLevel="1" x14ac:dyDescent="0.45">
      <c r="A16" s="163" t="s">
        <v>86</v>
      </c>
      <c r="B16" s="66"/>
      <c r="C16" s="66">
        <v>0</v>
      </c>
      <c r="D16" s="66">
        <v>20</v>
      </c>
      <c r="E16" s="66"/>
      <c r="F16" s="105"/>
      <c r="G16" s="66"/>
      <c r="H16" s="66">
        <f t="shared" si="8"/>
        <v>0</v>
      </c>
      <c r="I16" s="66">
        <v>0</v>
      </c>
      <c r="K16" s="79">
        <f t="shared" si="7"/>
        <v>0</v>
      </c>
      <c r="L16" s="79">
        <f t="shared" si="6"/>
        <v>0</v>
      </c>
      <c r="M16" s="79">
        <f t="shared" si="6"/>
        <v>0</v>
      </c>
      <c r="N16" s="79">
        <f t="shared" si="6"/>
        <v>0</v>
      </c>
      <c r="O16" s="79">
        <f t="shared" si="6"/>
        <v>0</v>
      </c>
      <c r="P16" s="79">
        <f t="shared" si="6"/>
        <v>0</v>
      </c>
      <c r="Q16" s="79">
        <f t="shared" si="6"/>
        <v>0</v>
      </c>
      <c r="R16" s="79">
        <f t="shared" si="6"/>
        <v>0</v>
      </c>
      <c r="S16" s="79">
        <f t="shared" si="6"/>
        <v>0</v>
      </c>
      <c r="T16" s="79">
        <f t="shared" si="6"/>
        <v>0</v>
      </c>
      <c r="U16" s="79">
        <f t="shared" si="6"/>
        <v>0</v>
      </c>
    </row>
    <row r="17" spans="1:21" outlineLevel="1" x14ac:dyDescent="0.45">
      <c r="A17" s="163" t="s">
        <v>87</v>
      </c>
      <c r="B17" s="66"/>
      <c r="C17" s="66">
        <v>0</v>
      </c>
      <c r="D17" s="66">
        <v>5</v>
      </c>
      <c r="E17" s="66"/>
      <c r="F17" s="105"/>
      <c r="G17" s="66"/>
      <c r="H17" s="66">
        <f t="shared" si="8"/>
        <v>0</v>
      </c>
      <c r="I17" s="66">
        <v>0</v>
      </c>
      <c r="K17" s="79">
        <f t="shared" si="7"/>
        <v>0</v>
      </c>
      <c r="L17" s="79">
        <f t="shared" si="6"/>
        <v>0</v>
      </c>
      <c r="M17" s="79">
        <f t="shared" si="6"/>
        <v>0</v>
      </c>
      <c r="N17" s="79">
        <f t="shared" si="6"/>
        <v>0</v>
      </c>
      <c r="O17" s="79">
        <f t="shared" si="6"/>
        <v>0</v>
      </c>
      <c r="P17" s="79">
        <f t="shared" si="6"/>
        <v>0</v>
      </c>
      <c r="Q17" s="79">
        <f t="shared" si="6"/>
        <v>0</v>
      </c>
      <c r="R17" s="79">
        <f t="shared" si="6"/>
        <v>0</v>
      </c>
      <c r="S17" s="79">
        <f t="shared" si="6"/>
        <v>0</v>
      </c>
      <c r="T17" s="79">
        <f t="shared" si="6"/>
        <v>0</v>
      </c>
      <c r="U17" s="79">
        <f t="shared" si="6"/>
        <v>0</v>
      </c>
    </row>
    <row r="18" spans="1:21" outlineLevel="1" x14ac:dyDescent="0.45">
      <c r="A18" s="163" t="s">
        <v>89</v>
      </c>
      <c r="B18" s="66"/>
      <c r="C18" s="66">
        <v>0</v>
      </c>
      <c r="D18" s="66">
        <v>5</v>
      </c>
      <c r="E18" s="66"/>
      <c r="F18" s="105"/>
      <c r="G18" s="66"/>
      <c r="H18" s="66">
        <f t="shared" si="8"/>
        <v>0</v>
      </c>
      <c r="I18" s="66">
        <v>0</v>
      </c>
      <c r="K18" s="79">
        <f t="shared" si="7"/>
        <v>0</v>
      </c>
      <c r="L18" s="79">
        <f t="shared" si="6"/>
        <v>0</v>
      </c>
      <c r="M18" s="79">
        <f t="shared" si="6"/>
        <v>0</v>
      </c>
      <c r="N18" s="79">
        <f t="shared" si="6"/>
        <v>0</v>
      </c>
      <c r="O18" s="79">
        <f t="shared" si="6"/>
        <v>0</v>
      </c>
      <c r="P18" s="79">
        <f t="shared" si="6"/>
        <v>0</v>
      </c>
      <c r="Q18" s="79">
        <f t="shared" si="6"/>
        <v>0</v>
      </c>
      <c r="R18" s="79">
        <f t="shared" si="6"/>
        <v>0</v>
      </c>
      <c r="S18" s="79">
        <f t="shared" si="6"/>
        <v>0</v>
      </c>
      <c r="T18" s="79">
        <f t="shared" si="6"/>
        <v>0</v>
      </c>
      <c r="U18" s="79">
        <f t="shared" si="6"/>
        <v>0</v>
      </c>
    </row>
    <row r="19" spans="1:21" outlineLevel="1" x14ac:dyDescent="0.45">
      <c r="A19" s="163" t="s">
        <v>90</v>
      </c>
      <c r="B19" s="66"/>
      <c r="C19" s="66">
        <v>0</v>
      </c>
      <c r="D19" s="66">
        <v>5</v>
      </c>
      <c r="E19" s="66">
        <v>100</v>
      </c>
      <c r="F19" s="105">
        <f>E19*RAS_VOLUME*24*365/1000</f>
        <v>120609.82556069773</v>
      </c>
      <c r="G19" s="66"/>
      <c r="H19" s="66">
        <f t="shared" si="8"/>
        <v>0</v>
      </c>
      <c r="I19" s="66">
        <v>0</v>
      </c>
      <c r="K19" s="79">
        <f t="shared" si="7"/>
        <v>0</v>
      </c>
      <c r="L19" s="79">
        <f t="shared" si="6"/>
        <v>0</v>
      </c>
      <c r="M19" s="79">
        <f t="shared" si="6"/>
        <v>0</v>
      </c>
      <c r="N19" s="79">
        <f t="shared" si="6"/>
        <v>0</v>
      </c>
      <c r="O19" s="79">
        <f t="shared" si="6"/>
        <v>0</v>
      </c>
      <c r="P19" s="79">
        <f t="shared" si="6"/>
        <v>0</v>
      </c>
      <c r="Q19" s="79">
        <f t="shared" si="6"/>
        <v>0</v>
      </c>
      <c r="R19" s="79">
        <f t="shared" si="6"/>
        <v>0</v>
      </c>
      <c r="S19" s="79">
        <f t="shared" si="6"/>
        <v>0</v>
      </c>
      <c r="T19" s="79">
        <f t="shared" si="6"/>
        <v>0</v>
      </c>
      <c r="U19" s="79">
        <f t="shared" si="6"/>
        <v>0</v>
      </c>
    </row>
    <row r="20" spans="1:21" outlineLevel="1" x14ac:dyDescent="0.45">
      <c r="A20" s="163" t="s">
        <v>91</v>
      </c>
      <c r="B20" s="66"/>
      <c r="C20" s="66">
        <v>0</v>
      </c>
      <c r="D20" s="66">
        <v>5</v>
      </c>
      <c r="E20" s="66">
        <v>12</v>
      </c>
      <c r="F20" s="105">
        <f>E20*RAS_VOLUME*12*365/1000</f>
        <v>7236.5895336418644</v>
      </c>
      <c r="G20" s="66"/>
      <c r="H20" s="66">
        <f t="shared" si="8"/>
        <v>0</v>
      </c>
      <c r="I20" s="66">
        <v>0</v>
      </c>
      <c r="K20" s="79">
        <f t="shared" si="7"/>
        <v>0</v>
      </c>
      <c r="L20" s="79">
        <f t="shared" si="6"/>
        <v>0</v>
      </c>
      <c r="M20" s="79">
        <f t="shared" si="6"/>
        <v>0</v>
      </c>
      <c r="N20" s="79">
        <f t="shared" si="6"/>
        <v>0</v>
      </c>
      <c r="O20" s="79">
        <f t="shared" si="6"/>
        <v>0</v>
      </c>
      <c r="P20" s="79">
        <f t="shared" si="6"/>
        <v>0</v>
      </c>
      <c r="Q20" s="79">
        <f t="shared" si="6"/>
        <v>0</v>
      </c>
      <c r="R20" s="79">
        <f t="shared" si="6"/>
        <v>0</v>
      </c>
      <c r="S20" s="79">
        <f t="shared" si="6"/>
        <v>0</v>
      </c>
      <c r="T20" s="79">
        <f t="shared" si="6"/>
        <v>0</v>
      </c>
      <c r="U20" s="79">
        <f t="shared" si="6"/>
        <v>0</v>
      </c>
    </row>
    <row r="21" spans="1:21" outlineLevel="1" x14ac:dyDescent="0.45">
      <c r="A21" s="163" t="s">
        <v>93</v>
      </c>
      <c r="B21" s="66"/>
      <c r="C21" s="66">
        <v>0</v>
      </c>
      <c r="D21" s="66">
        <v>3</v>
      </c>
      <c r="E21" s="66">
        <v>200</v>
      </c>
      <c r="F21" s="105">
        <f>E21*RAS_VOLUME*4*365/1000</f>
        <v>40203.275186899242</v>
      </c>
      <c r="G21" s="66"/>
      <c r="H21" s="66">
        <f t="shared" si="8"/>
        <v>0</v>
      </c>
      <c r="I21" s="66">
        <v>1</v>
      </c>
      <c r="K21" s="79">
        <f t="shared" si="7"/>
        <v>0</v>
      </c>
      <c r="L21" s="79">
        <f t="shared" si="6"/>
        <v>0</v>
      </c>
      <c r="M21" s="79">
        <f t="shared" si="6"/>
        <v>0</v>
      </c>
      <c r="N21" s="79">
        <f t="shared" si="6"/>
        <v>0</v>
      </c>
      <c r="O21" s="79">
        <f t="shared" si="6"/>
        <v>0</v>
      </c>
      <c r="P21" s="79">
        <f t="shared" si="6"/>
        <v>0</v>
      </c>
      <c r="Q21" s="79">
        <f t="shared" si="6"/>
        <v>0</v>
      </c>
      <c r="R21" s="79">
        <f t="shared" si="6"/>
        <v>0</v>
      </c>
      <c r="S21" s="79">
        <f t="shared" si="6"/>
        <v>0</v>
      </c>
      <c r="T21" s="79">
        <f t="shared" si="6"/>
        <v>0</v>
      </c>
      <c r="U21" s="79">
        <f t="shared" si="6"/>
        <v>0</v>
      </c>
    </row>
    <row r="22" spans="1:21" x14ac:dyDescent="0.45">
      <c r="A22" s="2" t="s">
        <v>101</v>
      </c>
      <c r="B22" s="105">
        <f>FISH_TANK</f>
        <v>17</v>
      </c>
      <c r="D22" s="21"/>
      <c r="E22" s="21"/>
      <c r="F22" s="21"/>
      <c r="G22" s="21"/>
      <c r="H22" s="21"/>
      <c r="I22" s="21"/>
      <c r="K22" s="174">
        <f t="shared" ref="K22:U22" si="9">SUM(K23:K29)</f>
        <v>158950</v>
      </c>
      <c r="L22" s="174">
        <f t="shared" si="9"/>
        <v>14450</v>
      </c>
      <c r="M22" s="174">
        <f t="shared" si="9"/>
        <v>14450</v>
      </c>
      <c r="N22" s="174">
        <f t="shared" si="9"/>
        <v>14450</v>
      </c>
      <c r="O22" s="174">
        <f t="shared" si="9"/>
        <v>14450</v>
      </c>
      <c r="P22" s="174">
        <f t="shared" si="9"/>
        <v>14450</v>
      </c>
      <c r="Q22" s="174">
        <f t="shared" si="9"/>
        <v>14450</v>
      </c>
      <c r="R22" s="174">
        <f t="shared" si="9"/>
        <v>14450</v>
      </c>
      <c r="S22" s="174">
        <f t="shared" si="9"/>
        <v>14450</v>
      </c>
      <c r="T22" s="174">
        <f t="shared" si="9"/>
        <v>14450</v>
      </c>
      <c r="U22" s="174">
        <f t="shared" si="9"/>
        <v>14450</v>
      </c>
    </row>
    <row r="23" spans="1:21" x14ac:dyDescent="0.45">
      <c r="A23" s="163" t="s">
        <v>82</v>
      </c>
      <c r="B23" s="66">
        <v>500</v>
      </c>
      <c r="C23" s="99">
        <v>1</v>
      </c>
      <c r="D23" s="66">
        <v>20</v>
      </c>
      <c r="E23" s="66"/>
      <c r="F23" s="66"/>
      <c r="G23" s="232"/>
      <c r="H23" s="232"/>
      <c r="I23" s="99">
        <v>0</v>
      </c>
      <c r="K23" s="79">
        <f t="shared" ref="K23:U31" si="10">(MOD(K$8,$D23)=0)*$B23*$B$4*FISH_TANK*$C23</f>
        <v>144500</v>
      </c>
      <c r="L23" s="79">
        <f t="shared" si="10"/>
        <v>0</v>
      </c>
      <c r="M23" s="79">
        <f t="shared" si="10"/>
        <v>0</v>
      </c>
      <c r="N23" s="79">
        <f t="shared" si="10"/>
        <v>0</v>
      </c>
      <c r="O23" s="79">
        <f t="shared" si="10"/>
        <v>0</v>
      </c>
      <c r="P23" s="79">
        <f t="shared" si="10"/>
        <v>0</v>
      </c>
      <c r="Q23" s="79">
        <f t="shared" si="10"/>
        <v>0</v>
      </c>
      <c r="R23" s="79">
        <f t="shared" si="10"/>
        <v>0</v>
      </c>
      <c r="S23" s="79">
        <f t="shared" si="10"/>
        <v>0</v>
      </c>
      <c r="T23" s="79">
        <f t="shared" si="10"/>
        <v>0</v>
      </c>
      <c r="U23" s="79">
        <f t="shared" si="10"/>
        <v>0</v>
      </c>
    </row>
    <row r="24" spans="1:21" x14ac:dyDescent="0.45">
      <c r="A24" s="231" t="s">
        <v>99</v>
      </c>
      <c r="B24" s="66">
        <v>50</v>
      </c>
      <c r="C24" s="99">
        <v>1</v>
      </c>
      <c r="D24" s="66">
        <v>1</v>
      </c>
      <c r="E24" s="66"/>
      <c r="F24" s="105"/>
      <c r="G24" s="232"/>
      <c r="H24" s="232"/>
      <c r="I24" s="99">
        <v>1</v>
      </c>
      <c r="K24" s="79">
        <f t="shared" si="10"/>
        <v>14450</v>
      </c>
      <c r="L24" s="79">
        <f t="shared" si="10"/>
        <v>14450</v>
      </c>
      <c r="M24" s="79">
        <f t="shared" si="10"/>
        <v>14450</v>
      </c>
      <c r="N24" s="79">
        <f t="shared" si="10"/>
        <v>14450</v>
      </c>
      <c r="O24" s="79">
        <f t="shared" si="10"/>
        <v>14450</v>
      </c>
      <c r="P24" s="79">
        <f t="shared" si="10"/>
        <v>14450</v>
      </c>
      <c r="Q24" s="79">
        <f t="shared" si="10"/>
        <v>14450</v>
      </c>
      <c r="R24" s="79">
        <f t="shared" si="10"/>
        <v>14450</v>
      </c>
      <c r="S24" s="79">
        <f t="shared" si="10"/>
        <v>14450</v>
      </c>
      <c r="T24" s="79">
        <f t="shared" si="10"/>
        <v>14450</v>
      </c>
      <c r="U24" s="79">
        <f t="shared" si="10"/>
        <v>14450</v>
      </c>
    </row>
    <row r="25" spans="1:21" x14ac:dyDescent="0.45">
      <c r="A25" s="165" t="s">
        <v>85</v>
      </c>
      <c r="B25" s="66">
        <v>15</v>
      </c>
      <c r="C25" s="66">
        <v>0</v>
      </c>
      <c r="D25" s="66">
        <v>5</v>
      </c>
      <c r="E25" s="66">
        <v>20</v>
      </c>
      <c r="F25" s="105">
        <f>E25*RAS_VOLUME*24*365/1000</f>
        <v>24121.965112139551</v>
      </c>
      <c r="G25" s="114">
        <v>1.05</v>
      </c>
      <c r="H25" s="77">
        <f t="shared" ref="H25:H31" si="11">C25*G25</f>
        <v>0</v>
      </c>
      <c r="I25" s="66">
        <v>1</v>
      </c>
      <c r="K25" s="79">
        <f t="shared" si="10"/>
        <v>0</v>
      </c>
      <c r="L25" s="79">
        <f t="shared" si="10"/>
        <v>0</v>
      </c>
      <c r="M25" s="79">
        <f t="shared" si="10"/>
        <v>0</v>
      </c>
      <c r="N25" s="79">
        <f t="shared" si="10"/>
        <v>0</v>
      </c>
      <c r="O25" s="79">
        <f t="shared" si="10"/>
        <v>0</v>
      </c>
      <c r="P25" s="79">
        <f t="shared" si="10"/>
        <v>0</v>
      </c>
      <c r="Q25" s="79">
        <f t="shared" si="10"/>
        <v>0</v>
      </c>
      <c r="R25" s="79">
        <f t="shared" si="10"/>
        <v>0</v>
      </c>
      <c r="S25" s="79">
        <f t="shared" si="10"/>
        <v>0</v>
      </c>
      <c r="T25" s="79">
        <f t="shared" si="10"/>
        <v>0</v>
      </c>
      <c r="U25" s="79">
        <f t="shared" si="10"/>
        <v>0</v>
      </c>
    </row>
    <row r="26" spans="1:21" outlineLevel="1" x14ac:dyDescent="0.45">
      <c r="A26" s="163" t="s">
        <v>95</v>
      </c>
      <c r="B26" s="66"/>
      <c r="C26" s="66">
        <v>0</v>
      </c>
      <c r="D26" s="66">
        <v>5</v>
      </c>
      <c r="E26" s="66"/>
      <c r="F26" s="66"/>
      <c r="G26" s="66"/>
      <c r="H26" s="66">
        <f t="shared" si="11"/>
        <v>0</v>
      </c>
      <c r="I26" s="66">
        <v>1</v>
      </c>
      <c r="K26" s="79">
        <f t="shared" si="10"/>
        <v>0</v>
      </c>
      <c r="L26" s="79">
        <f t="shared" si="10"/>
        <v>0</v>
      </c>
      <c r="M26" s="79">
        <f t="shared" si="10"/>
        <v>0</v>
      </c>
      <c r="N26" s="79">
        <f t="shared" si="10"/>
        <v>0</v>
      </c>
      <c r="O26" s="79">
        <f t="shared" si="10"/>
        <v>0</v>
      </c>
      <c r="P26" s="79">
        <f t="shared" si="10"/>
        <v>0</v>
      </c>
      <c r="Q26" s="79">
        <f t="shared" si="10"/>
        <v>0</v>
      </c>
      <c r="R26" s="79">
        <f t="shared" si="10"/>
        <v>0</v>
      </c>
      <c r="S26" s="79">
        <f t="shared" si="10"/>
        <v>0</v>
      </c>
      <c r="T26" s="79">
        <f t="shared" si="10"/>
        <v>0</v>
      </c>
      <c r="U26" s="79">
        <f t="shared" si="10"/>
        <v>0</v>
      </c>
    </row>
    <row r="27" spans="1:21" outlineLevel="1" x14ac:dyDescent="0.45">
      <c r="A27" s="163" t="s">
        <v>96</v>
      </c>
      <c r="B27" s="66"/>
      <c r="C27" s="66">
        <v>0</v>
      </c>
      <c r="D27" s="66">
        <v>1</v>
      </c>
      <c r="E27" s="66"/>
      <c r="F27" s="66"/>
      <c r="G27" s="66"/>
      <c r="H27" s="66">
        <f t="shared" si="11"/>
        <v>0</v>
      </c>
      <c r="I27" s="66">
        <v>1</v>
      </c>
      <c r="K27" s="79">
        <f t="shared" si="10"/>
        <v>0</v>
      </c>
      <c r="L27" s="79">
        <f t="shared" si="10"/>
        <v>0</v>
      </c>
      <c r="M27" s="79">
        <f t="shared" si="10"/>
        <v>0</v>
      </c>
      <c r="N27" s="79">
        <f t="shared" si="10"/>
        <v>0</v>
      </c>
      <c r="O27" s="79">
        <f t="shared" si="10"/>
        <v>0</v>
      </c>
      <c r="P27" s="79">
        <f t="shared" si="10"/>
        <v>0</v>
      </c>
      <c r="Q27" s="79">
        <f t="shared" si="10"/>
        <v>0</v>
      </c>
      <c r="R27" s="79">
        <f t="shared" si="10"/>
        <v>0</v>
      </c>
      <c r="S27" s="79">
        <f t="shared" si="10"/>
        <v>0</v>
      </c>
      <c r="T27" s="79">
        <f t="shared" si="10"/>
        <v>0</v>
      </c>
      <c r="U27" s="79">
        <f t="shared" si="10"/>
        <v>0</v>
      </c>
    </row>
    <row r="28" spans="1:21" outlineLevel="1" x14ac:dyDescent="0.45">
      <c r="A28" s="163" t="s">
        <v>97</v>
      </c>
      <c r="B28" s="66"/>
      <c r="C28" s="66">
        <v>0</v>
      </c>
      <c r="D28" s="66">
        <v>1</v>
      </c>
      <c r="E28" s="66"/>
      <c r="F28" s="66"/>
      <c r="G28" s="66"/>
      <c r="H28" s="66">
        <f t="shared" si="11"/>
        <v>0</v>
      </c>
      <c r="I28" s="66">
        <v>1</v>
      </c>
      <c r="K28" s="79">
        <f t="shared" si="10"/>
        <v>0</v>
      </c>
      <c r="L28" s="79">
        <f t="shared" si="10"/>
        <v>0</v>
      </c>
      <c r="M28" s="79">
        <f t="shared" si="10"/>
        <v>0</v>
      </c>
      <c r="N28" s="79">
        <f t="shared" si="10"/>
        <v>0</v>
      </c>
      <c r="O28" s="79">
        <f t="shared" si="10"/>
        <v>0</v>
      </c>
      <c r="P28" s="79">
        <f t="shared" si="10"/>
        <v>0</v>
      </c>
      <c r="Q28" s="79">
        <f t="shared" si="10"/>
        <v>0</v>
      </c>
      <c r="R28" s="79">
        <f t="shared" si="10"/>
        <v>0</v>
      </c>
      <c r="S28" s="79">
        <f t="shared" si="10"/>
        <v>0</v>
      </c>
      <c r="T28" s="79">
        <f t="shared" si="10"/>
        <v>0</v>
      </c>
      <c r="U28" s="79">
        <f t="shared" si="10"/>
        <v>0</v>
      </c>
    </row>
    <row r="29" spans="1:21" outlineLevel="1" x14ac:dyDescent="0.45">
      <c r="A29" s="163" t="s">
        <v>98</v>
      </c>
      <c r="B29" s="66"/>
      <c r="C29" s="66">
        <v>0</v>
      </c>
      <c r="D29" s="66">
        <v>1</v>
      </c>
      <c r="E29" s="66"/>
      <c r="F29" s="66"/>
      <c r="G29" s="66"/>
      <c r="H29" s="66">
        <f t="shared" si="11"/>
        <v>0</v>
      </c>
      <c r="I29" s="66">
        <v>1</v>
      </c>
      <c r="K29" s="79">
        <f t="shared" si="10"/>
        <v>0</v>
      </c>
      <c r="L29" s="79">
        <f t="shared" si="10"/>
        <v>0</v>
      </c>
      <c r="M29" s="79">
        <f t="shared" si="10"/>
        <v>0</v>
      </c>
      <c r="N29" s="79">
        <f t="shared" si="10"/>
        <v>0</v>
      </c>
      <c r="O29" s="79">
        <f t="shared" si="10"/>
        <v>0</v>
      </c>
      <c r="P29" s="79">
        <f t="shared" si="10"/>
        <v>0</v>
      </c>
      <c r="Q29" s="79">
        <f t="shared" si="10"/>
        <v>0</v>
      </c>
      <c r="R29" s="79">
        <f t="shared" si="10"/>
        <v>0</v>
      </c>
      <c r="S29" s="79">
        <f t="shared" si="10"/>
        <v>0</v>
      </c>
      <c r="T29" s="79">
        <f t="shared" si="10"/>
        <v>0</v>
      </c>
      <c r="U29" s="79">
        <f t="shared" si="10"/>
        <v>0</v>
      </c>
    </row>
    <row r="30" spans="1:21" outlineLevel="1" x14ac:dyDescent="0.45">
      <c r="A30" s="163" t="s">
        <v>92</v>
      </c>
      <c r="B30" s="66"/>
      <c r="C30" s="66">
        <v>0</v>
      </c>
      <c r="D30" s="66">
        <v>5</v>
      </c>
      <c r="E30" s="66"/>
      <c r="F30" s="105"/>
      <c r="G30" s="66"/>
      <c r="H30" s="66">
        <f t="shared" si="11"/>
        <v>0</v>
      </c>
      <c r="I30" s="66">
        <v>1</v>
      </c>
      <c r="K30" s="79">
        <f t="shared" si="10"/>
        <v>0</v>
      </c>
      <c r="L30" s="79">
        <f t="shared" si="10"/>
        <v>0</v>
      </c>
      <c r="M30" s="79">
        <f t="shared" si="10"/>
        <v>0</v>
      </c>
      <c r="N30" s="79">
        <f t="shared" si="10"/>
        <v>0</v>
      </c>
      <c r="O30" s="79">
        <f t="shared" si="10"/>
        <v>0</v>
      </c>
      <c r="P30" s="79">
        <f t="shared" si="10"/>
        <v>0</v>
      </c>
      <c r="Q30" s="79">
        <f t="shared" si="10"/>
        <v>0</v>
      </c>
      <c r="R30" s="79">
        <f t="shared" si="10"/>
        <v>0</v>
      </c>
      <c r="S30" s="79">
        <f t="shared" si="10"/>
        <v>0</v>
      </c>
      <c r="T30" s="79">
        <f t="shared" si="10"/>
        <v>0</v>
      </c>
      <c r="U30" s="79">
        <f t="shared" si="10"/>
        <v>0</v>
      </c>
    </row>
    <row r="31" spans="1:21" outlineLevel="1" x14ac:dyDescent="0.45">
      <c r="A31" s="163" t="s">
        <v>84</v>
      </c>
      <c r="B31" s="66"/>
      <c r="C31" s="66">
        <v>0</v>
      </c>
      <c r="D31" s="66">
        <v>5</v>
      </c>
      <c r="E31" s="66"/>
      <c r="F31" s="105"/>
      <c r="G31" s="66"/>
      <c r="H31" s="66">
        <f t="shared" si="11"/>
        <v>0</v>
      </c>
      <c r="I31" s="66">
        <v>1</v>
      </c>
      <c r="K31" s="79">
        <f t="shared" si="10"/>
        <v>0</v>
      </c>
      <c r="L31" s="79">
        <f t="shared" si="10"/>
        <v>0</v>
      </c>
      <c r="M31" s="79">
        <f t="shared" si="10"/>
        <v>0</v>
      </c>
      <c r="N31" s="79">
        <f t="shared" si="10"/>
        <v>0</v>
      </c>
      <c r="O31" s="79">
        <f t="shared" si="10"/>
        <v>0</v>
      </c>
      <c r="P31" s="79">
        <f t="shared" si="10"/>
        <v>0</v>
      </c>
      <c r="Q31" s="79">
        <f t="shared" si="10"/>
        <v>0</v>
      </c>
      <c r="R31" s="79">
        <f t="shared" si="10"/>
        <v>0</v>
      </c>
      <c r="S31" s="79">
        <f t="shared" si="10"/>
        <v>0</v>
      </c>
      <c r="T31" s="79">
        <f t="shared" si="10"/>
        <v>0</v>
      </c>
      <c r="U31" s="79">
        <f t="shared" si="10"/>
        <v>0</v>
      </c>
    </row>
    <row r="32" spans="1:21" x14ac:dyDescent="0.45">
      <c r="B32" s="5"/>
      <c r="C32" s="5"/>
      <c r="D32" s="5"/>
      <c r="E32" s="5"/>
      <c r="F32" s="5"/>
      <c r="G32" s="5"/>
      <c r="H32" s="5"/>
      <c r="I32" s="5"/>
    </row>
    <row r="33" spans="1:21" ht="18" x14ac:dyDescent="0.45">
      <c r="A33" s="258" t="s">
        <v>168</v>
      </c>
      <c r="B33" s="168"/>
      <c r="C33" s="167"/>
      <c r="D33" s="167"/>
      <c r="E33" s="167"/>
      <c r="F33" s="105"/>
      <c r="G33" s="167"/>
      <c r="H33" s="167"/>
      <c r="I33" s="77">
        <f>SUMPRODUCT(C35:C48,I35:I48)/SUM(C35:C48)</f>
        <v>0.5</v>
      </c>
      <c r="K33" s="174">
        <f>K34+K39</f>
        <v>25336.899252402989</v>
      </c>
      <c r="L33" s="174">
        <f t="shared" ref="L33:U33" si="12">L34+L39</f>
        <v>0</v>
      </c>
      <c r="M33" s="174">
        <f t="shared" si="12"/>
        <v>4108.6863652545389</v>
      </c>
      <c r="N33" s="174">
        <f t="shared" si="12"/>
        <v>2054.3431826272695</v>
      </c>
      <c r="O33" s="174">
        <f t="shared" si="12"/>
        <v>4108.6863652545389</v>
      </c>
      <c r="P33" s="174">
        <f t="shared" si="12"/>
        <v>2054.3431826272695</v>
      </c>
      <c r="Q33" s="174">
        <f t="shared" si="12"/>
        <v>6163.029547881808</v>
      </c>
      <c r="R33" s="174">
        <f t="shared" si="12"/>
        <v>0</v>
      </c>
      <c r="S33" s="174">
        <f t="shared" si="12"/>
        <v>4108.6863652545389</v>
      </c>
      <c r="T33" s="174">
        <f t="shared" si="12"/>
        <v>2054.3431826272695</v>
      </c>
      <c r="U33" s="174">
        <f t="shared" si="12"/>
        <v>13010.840156639373</v>
      </c>
    </row>
    <row r="34" spans="1:21" x14ac:dyDescent="0.45">
      <c r="A34" s="2" t="s">
        <v>438</v>
      </c>
      <c r="B34" s="105">
        <f>HYDROPONIC_AREA</f>
        <v>684.78106087575657</v>
      </c>
      <c r="K34" s="174">
        <f>SUM(K35:K38)</f>
        <v>17119.526521893913</v>
      </c>
      <c r="L34" s="174">
        <f t="shared" ref="L34:U34" si="13">SUM(L35:L38)</f>
        <v>0</v>
      </c>
      <c r="M34" s="174">
        <f t="shared" si="13"/>
        <v>0</v>
      </c>
      <c r="N34" s="174">
        <f t="shared" si="13"/>
        <v>0</v>
      </c>
      <c r="O34" s="174">
        <f t="shared" si="13"/>
        <v>0</v>
      </c>
      <c r="P34" s="174">
        <f t="shared" si="13"/>
        <v>0</v>
      </c>
      <c r="Q34" s="174">
        <f t="shared" si="13"/>
        <v>0</v>
      </c>
      <c r="R34" s="174">
        <f t="shared" si="13"/>
        <v>0</v>
      </c>
      <c r="S34" s="174">
        <f t="shared" si="13"/>
        <v>0</v>
      </c>
      <c r="T34" s="174">
        <f t="shared" si="13"/>
        <v>0</v>
      </c>
      <c r="U34" s="174">
        <f t="shared" si="13"/>
        <v>6847.8106087575652</v>
      </c>
    </row>
    <row r="35" spans="1:21" x14ac:dyDescent="0.45">
      <c r="A35" s="163" t="s">
        <v>81</v>
      </c>
      <c r="B35" s="66">
        <v>15</v>
      </c>
      <c r="C35" s="66">
        <v>1</v>
      </c>
      <c r="D35" s="66">
        <v>20</v>
      </c>
      <c r="E35" s="66">
        <v>7</v>
      </c>
      <c r="F35" s="105">
        <f>E35*HYDROPONIC_AREA*12*365/1000</f>
        <v>20995.387326450695</v>
      </c>
      <c r="G35" s="114">
        <v>1</v>
      </c>
      <c r="H35" s="77">
        <f>C35*G35</f>
        <v>1</v>
      </c>
      <c r="I35" s="66">
        <v>0</v>
      </c>
      <c r="K35" s="79">
        <f t="shared" ref="K35:U38" si="14">(MOD(K$8,$D35)=0)*$B35*$C35*HYDROPONIC_AREA</f>
        <v>10271.715913136348</v>
      </c>
      <c r="L35" s="79">
        <f t="shared" si="14"/>
        <v>0</v>
      </c>
      <c r="M35" s="79">
        <f t="shared" si="14"/>
        <v>0</v>
      </c>
      <c r="N35" s="79">
        <f t="shared" si="14"/>
        <v>0</v>
      </c>
      <c r="O35" s="79">
        <f t="shared" si="14"/>
        <v>0</v>
      </c>
      <c r="P35" s="79">
        <f t="shared" si="14"/>
        <v>0</v>
      </c>
      <c r="Q35" s="79">
        <f t="shared" si="14"/>
        <v>0</v>
      </c>
      <c r="R35" s="79">
        <f t="shared" si="14"/>
        <v>0</v>
      </c>
      <c r="S35" s="79">
        <f t="shared" si="14"/>
        <v>0</v>
      </c>
      <c r="T35" s="79">
        <f t="shared" si="14"/>
        <v>0</v>
      </c>
      <c r="U35" s="79">
        <f t="shared" si="14"/>
        <v>0</v>
      </c>
    </row>
    <row r="36" spans="1:21" x14ac:dyDescent="0.45">
      <c r="A36" s="163" t="s">
        <v>102</v>
      </c>
      <c r="B36" s="66">
        <v>10</v>
      </c>
      <c r="C36" s="66">
        <v>1</v>
      </c>
      <c r="D36" s="66">
        <v>10</v>
      </c>
      <c r="E36" s="66">
        <v>20</v>
      </c>
      <c r="F36" s="105">
        <f>E36*HYDROPONIC_AREA*8*365/1000</f>
        <v>39991.21395514418</v>
      </c>
      <c r="G36" s="114">
        <v>1</v>
      </c>
      <c r="H36" s="77">
        <f>C36*G36</f>
        <v>1</v>
      </c>
      <c r="I36" s="5">
        <v>0</v>
      </c>
      <c r="K36" s="79">
        <f t="shared" si="14"/>
        <v>6847.8106087575652</v>
      </c>
      <c r="L36" s="79">
        <f t="shared" si="14"/>
        <v>0</v>
      </c>
      <c r="M36" s="79">
        <f t="shared" si="14"/>
        <v>0</v>
      </c>
      <c r="N36" s="79">
        <f t="shared" si="14"/>
        <v>0</v>
      </c>
      <c r="O36" s="79">
        <f t="shared" si="14"/>
        <v>0</v>
      </c>
      <c r="P36" s="79">
        <f t="shared" si="14"/>
        <v>0</v>
      </c>
      <c r="Q36" s="79">
        <f t="shared" si="14"/>
        <v>0</v>
      </c>
      <c r="R36" s="79">
        <f t="shared" si="14"/>
        <v>0</v>
      </c>
      <c r="S36" s="79">
        <f t="shared" si="14"/>
        <v>0</v>
      </c>
      <c r="T36" s="79">
        <f t="shared" si="14"/>
        <v>0</v>
      </c>
      <c r="U36" s="79">
        <f t="shared" si="14"/>
        <v>6847.8106087575652</v>
      </c>
    </row>
    <row r="37" spans="1:21" x14ac:dyDescent="0.45">
      <c r="A37" s="165" t="s">
        <v>193</v>
      </c>
      <c r="B37" s="66">
        <v>15</v>
      </c>
      <c r="C37" s="66">
        <v>0</v>
      </c>
      <c r="D37" s="66">
        <v>10</v>
      </c>
      <c r="E37" s="260"/>
      <c r="F37" s="260"/>
      <c r="G37" s="114">
        <v>1.05</v>
      </c>
      <c r="H37" s="77">
        <f>C37*G37</f>
        <v>0</v>
      </c>
      <c r="I37" s="5">
        <v>0</v>
      </c>
      <c r="K37" s="79">
        <f t="shared" si="14"/>
        <v>0</v>
      </c>
      <c r="L37" s="79">
        <f t="shared" si="14"/>
        <v>0</v>
      </c>
      <c r="M37" s="79">
        <f t="shared" si="14"/>
        <v>0</v>
      </c>
      <c r="N37" s="79">
        <f t="shared" si="14"/>
        <v>0</v>
      </c>
      <c r="O37" s="79">
        <f t="shared" si="14"/>
        <v>0</v>
      </c>
      <c r="P37" s="79">
        <f t="shared" si="14"/>
        <v>0</v>
      </c>
      <c r="Q37" s="79">
        <f t="shared" si="14"/>
        <v>0</v>
      </c>
      <c r="R37" s="79">
        <f t="shared" si="14"/>
        <v>0</v>
      </c>
      <c r="S37" s="79">
        <f t="shared" si="14"/>
        <v>0</v>
      </c>
      <c r="T37" s="79">
        <f t="shared" si="14"/>
        <v>0</v>
      </c>
      <c r="U37" s="79">
        <f t="shared" si="14"/>
        <v>0</v>
      </c>
    </row>
    <row r="38" spans="1:21" x14ac:dyDescent="0.45">
      <c r="A38" s="165" t="s">
        <v>94</v>
      </c>
      <c r="B38" s="66">
        <v>20</v>
      </c>
      <c r="C38" s="66">
        <v>0</v>
      </c>
      <c r="D38" s="66">
        <v>5</v>
      </c>
      <c r="E38" s="66">
        <v>100</v>
      </c>
      <c r="F38" s="105">
        <f>E38*HYDROPONIC_AREA*12*365/1000</f>
        <v>299934.1046635813</v>
      </c>
      <c r="G38" s="114">
        <v>0.98</v>
      </c>
      <c r="H38" s="77">
        <f>C38*G38</f>
        <v>0</v>
      </c>
      <c r="I38" s="66">
        <v>1</v>
      </c>
      <c r="K38" s="79">
        <f t="shared" si="14"/>
        <v>0</v>
      </c>
      <c r="L38" s="79">
        <f t="shared" si="14"/>
        <v>0</v>
      </c>
      <c r="M38" s="79">
        <f t="shared" si="14"/>
        <v>0</v>
      </c>
      <c r="N38" s="79">
        <f t="shared" si="14"/>
        <v>0</v>
      </c>
      <c r="O38" s="79">
        <f t="shared" si="14"/>
        <v>0</v>
      </c>
      <c r="P38" s="79">
        <f t="shared" si="14"/>
        <v>0</v>
      </c>
      <c r="Q38" s="79">
        <f t="shared" si="14"/>
        <v>0</v>
      </c>
      <c r="R38" s="79">
        <f t="shared" si="14"/>
        <v>0</v>
      </c>
      <c r="S38" s="79">
        <f t="shared" si="14"/>
        <v>0</v>
      </c>
      <c r="T38" s="79">
        <f t="shared" si="14"/>
        <v>0</v>
      </c>
      <c r="U38" s="79">
        <f t="shared" si="14"/>
        <v>0</v>
      </c>
    </row>
    <row r="39" spans="1:21" x14ac:dyDescent="0.45">
      <c r="A39" s="2" t="s">
        <v>435</v>
      </c>
      <c r="B39" s="105">
        <f>HYDROPONICS_UNIT</f>
        <v>136.95621217515131</v>
      </c>
      <c r="C39" s="5"/>
      <c r="D39" s="66"/>
      <c r="E39" s="66"/>
      <c r="F39" s="66"/>
      <c r="G39" s="5"/>
      <c r="H39" s="5"/>
      <c r="I39" s="5"/>
      <c r="J39" s="5"/>
      <c r="K39" s="174">
        <f>SUM(K40:K47)</f>
        <v>8217.3727305090779</v>
      </c>
      <c r="L39" s="174">
        <f t="shared" ref="L39:U39" si="15">SUM(L40:L47)</f>
        <v>0</v>
      </c>
      <c r="M39" s="174">
        <f t="shared" si="15"/>
        <v>4108.6863652545389</v>
      </c>
      <c r="N39" s="174">
        <f t="shared" si="15"/>
        <v>2054.3431826272695</v>
      </c>
      <c r="O39" s="174">
        <f t="shared" si="15"/>
        <v>4108.6863652545389</v>
      </c>
      <c r="P39" s="174">
        <f t="shared" si="15"/>
        <v>2054.3431826272695</v>
      </c>
      <c r="Q39" s="174">
        <f t="shared" si="15"/>
        <v>6163.029547881808</v>
      </c>
      <c r="R39" s="174">
        <f t="shared" si="15"/>
        <v>0</v>
      </c>
      <c r="S39" s="174">
        <f t="shared" si="15"/>
        <v>4108.6863652545389</v>
      </c>
      <c r="T39" s="174">
        <f t="shared" si="15"/>
        <v>2054.3431826272695</v>
      </c>
      <c r="U39" s="174">
        <f t="shared" si="15"/>
        <v>6163.029547881808</v>
      </c>
    </row>
    <row r="40" spans="1:21" x14ac:dyDescent="0.45">
      <c r="A40" s="163" t="s">
        <v>88</v>
      </c>
      <c r="B40" s="66">
        <v>15</v>
      </c>
      <c r="C40" s="5">
        <v>1</v>
      </c>
      <c r="D40" s="66">
        <v>5</v>
      </c>
      <c r="E40" s="66"/>
      <c r="F40" s="66"/>
      <c r="G40" s="77"/>
      <c r="H40" s="77"/>
      <c r="I40" s="5">
        <v>0</v>
      </c>
      <c r="K40" s="79">
        <f t="shared" ref="K40:U47" si="16">(MOD(K$8,$D40)=0)*$B40*$C40*HYDROPONICS_UNIT</f>
        <v>2054.3431826272695</v>
      </c>
      <c r="L40" s="79">
        <f t="shared" si="16"/>
        <v>0</v>
      </c>
      <c r="M40" s="79">
        <f t="shared" si="16"/>
        <v>0</v>
      </c>
      <c r="N40" s="79">
        <f t="shared" si="16"/>
        <v>0</v>
      </c>
      <c r="O40" s="79">
        <f t="shared" si="16"/>
        <v>0</v>
      </c>
      <c r="P40" s="79">
        <f t="shared" si="16"/>
        <v>2054.3431826272695</v>
      </c>
      <c r="Q40" s="79">
        <f t="shared" si="16"/>
        <v>0</v>
      </c>
      <c r="R40" s="79">
        <f t="shared" si="16"/>
        <v>0</v>
      </c>
      <c r="S40" s="79">
        <f t="shared" si="16"/>
        <v>0</v>
      </c>
      <c r="T40" s="79">
        <f t="shared" si="16"/>
        <v>0</v>
      </c>
      <c r="U40" s="79">
        <f t="shared" si="16"/>
        <v>2054.3431826272695</v>
      </c>
    </row>
    <row r="41" spans="1:21" x14ac:dyDescent="0.45">
      <c r="A41" s="163" t="s">
        <v>23</v>
      </c>
      <c r="B41" s="66">
        <v>15</v>
      </c>
      <c r="C41" s="5">
        <v>1</v>
      </c>
      <c r="D41" s="66">
        <v>3</v>
      </c>
      <c r="E41" s="66"/>
      <c r="F41" s="66"/>
      <c r="G41" s="77"/>
      <c r="H41" s="77"/>
      <c r="I41" s="5">
        <v>1</v>
      </c>
      <c r="K41" s="79">
        <f t="shared" si="16"/>
        <v>2054.3431826272695</v>
      </c>
      <c r="L41" s="79">
        <f t="shared" si="16"/>
        <v>0</v>
      </c>
      <c r="M41" s="79">
        <f t="shared" si="16"/>
        <v>0</v>
      </c>
      <c r="N41" s="79">
        <f t="shared" si="16"/>
        <v>2054.3431826272695</v>
      </c>
      <c r="O41" s="79">
        <f t="shared" si="16"/>
        <v>0</v>
      </c>
      <c r="P41" s="79">
        <f t="shared" si="16"/>
        <v>0</v>
      </c>
      <c r="Q41" s="79">
        <f t="shared" si="16"/>
        <v>2054.3431826272695</v>
      </c>
      <c r="R41" s="79">
        <f t="shared" si="16"/>
        <v>0</v>
      </c>
      <c r="S41" s="79">
        <f t="shared" si="16"/>
        <v>0</v>
      </c>
      <c r="T41" s="79">
        <f t="shared" si="16"/>
        <v>2054.3431826272695</v>
      </c>
      <c r="U41" s="79">
        <f t="shared" si="16"/>
        <v>0</v>
      </c>
    </row>
    <row r="42" spans="1:21" x14ac:dyDescent="0.45">
      <c r="A42" s="163" t="s">
        <v>97</v>
      </c>
      <c r="B42" s="66">
        <v>15</v>
      </c>
      <c r="C42" s="5">
        <v>1</v>
      </c>
      <c r="D42" s="66">
        <v>2</v>
      </c>
      <c r="E42" s="66"/>
      <c r="F42" s="66"/>
      <c r="G42" s="77"/>
      <c r="H42" s="77"/>
      <c r="I42" s="5">
        <v>1</v>
      </c>
      <c r="K42" s="79">
        <f t="shared" si="16"/>
        <v>2054.3431826272695</v>
      </c>
      <c r="L42" s="79">
        <f t="shared" si="16"/>
        <v>0</v>
      </c>
      <c r="M42" s="79">
        <f t="shared" si="16"/>
        <v>2054.3431826272695</v>
      </c>
      <c r="N42" s="79">
        <f t="shared" si="16"/>
        <v>0</v>
      </c>
      <c r="O42" s="79">
        <f t="shared" si="16"/>
        <v>2054.3431826272695</v>
      </c>
      <c r="P42" s="79">
        <f t="shared" si="16"/>
        <v>0</v>
      </c>
      <c r="Q42" s="79">
        <f t="shared" si="16"/>
        <v>2054.3431826272695</v>
      </c>
      <c r="R42" s="79">
        <f t="shared" si="16"/>
        <v>0</v>
      </c>
      <c r="S42" s="79">
        <f t="shared" si="16"/>
        <v>2054.3431826272695</v>
      </c>
      <c r="T42" s="79">
        <f t="shared" si="16"/>
        <v>0</v>
      </c>
      <c r="U42" s="79">
        <f t="shared" si="16"/>
        <v>2054.3431826272695</v>
      </c>
    </row>
    <row r="43" spans="1:21" x14ac:dyDescent="0.45">
      <c r="A43" s="165" t="s">
        <v>99</v>
      </c>
      <c r="B43" s="66">
        <v>15</v>
      </c>
      <c r="C43" s="5">
        <v>1</v>
      </c>
      <c r="D43" s="66">
        <v>2</v>
      </c>
      <c r="E43" s="66"/>
      <c r="F43" s="66"/>
      <c r="G43" s="114">
        <v>1.02</v>
      </c>
      <c r="H43" s="77">
        <f>C43*G43</f>
        <v>1.02</v>
      </c>
      <c r="I43" s="5">
        <v>1</v>
      </c>
      <c r="K43" s="79">
        <f t="shared" si="16"/>
        <v>2054.3431826272695</v>
      </c>
      <c r="L43" s="79">
        <f t="shared" si="16"/>
        <v>0</v>
      </c>
      <c r="M43" s="79">
        <f t="shared" si="16"/>
        <v>2054.3431826272695</v>
      </c>
      <c r="N43" s="79">
        <f t="shared" si="16"/>
        <v>0</v>
      </c>
      <c r="O43" s="79">
        <f t="shared" si="16"/>
        <v>2054.3431826272695</v>
      </c>
      <c r="P43" s="79">
        <f t="shared" si="16"/>
        <v>0</v>
      </c>
      <c r="Q43" s="79">
        <f t="shared" si="16"/>
        <v>2054.3431826272695</v>
      </c>
      <c r="R43" s="79">
        <f t="shared" si="16"/>
        <v>0</v>
      </c>
      <c r="S43" s="79">
        <f t="shared" si="16"/>
        <v>2054.3431826272695</v>
      </c>
      <c r="T43" s="79">
        <f t="shared" si="16"/>
        <v>0</v>
      </c>
      <c r="U43" s="79">
        <f t="shared" si="16"/>
        <v>2054.3431826272695</v>
      </c>
    </row>
    <row r="44" spans="1:21" hidden="1" outlineLevel="1" x14ac:dyDescent="0.45">
      <c r="A44" s="163" t="s">
        <v>103</v>
      </c>
      <c r="B44" s="66"/>
      <c r="C44" s="66">
        <v>0</v>
      </c>
      <c r="D44" s="66">
        <v>1</v>
      </c>
      <c r="E44" s="66"/>
      <c r="F44" s="66"/>
      <c r="G44" s="114">
        <v>1</v>
      </c>
      <c r="H44" s="77">
        <f t="shared" ref="H44:H47" si="17">C44*G44</f>
        <v>0</v>
      </c>
      <c r="I44" s="5" t="s">
        <v>117</v>
      </c>
      <c r="K44" s="79">
        <f t="shared" si="16"/>
        <v>0</v>
      </c>
      <c r="L44" s="79">
        <f t="shared" si="16"/>
        <v>0</v>
      </c>
      <c r="M44" s="79">
        <f t="shared" si="16"/>
        <v>0</v>
      </c>
      <c r="N44" s="79">
        <f t="shared" si="16"/>
        <v>0</v>
      </c>
      <c r="O44" s="79">
        <f t="shared" si="16"/>
        <v>0</v>
      </c>
      <c r="P44" s="79">
        <f t="shared" si="16"/>
        <v>0</v>
      </c>
      <c r="Q44" s="79">
        <f t="shared" si="16"/>
        <v>0</v>
      </c>
      <c r="R44" s="79">
        <f t="shared" si="16"/>
        <v>0</v>
      </c>
      <c r="S44" s="79">
        <f t="shared" si="16"/>
        <v>0</v>
      </c>
      <c r="T44" s="79">
        <f t="shared" si="16"/>
        <v>0</v>
      </c>
      <c r="U44" s="79">
        <f t="shared" si="16"/>
        <v>0</v>
      </c>
    </row>
    <row r="45" spans="1:21" hidden="1" outlineLevel="1" x14ac:dyDescent="0.45">
      <c r="A45" s="163" t="s">
        <v>104</v>
      </c>
      <c r="B45" s="66"/>
      <c r="C45" s="66">
        <v>0</v>
      </c>
      <c r="D45" s="66">
        <v>5</v>
      </c>
      <c r="E45" s="66">
        <v>3</v>
      </c>
      <c r="F45" s="105">
        <f>E45*HYDROPONIC_AREA*24*365/1000</f>
        <v>17996.046279814884</v>
      </c>
      <c r="G45" s="114">
        <v>1</v>
      </c>
      <c r="H45" s="77">
        <f t="shared" si="17"/>
        <v>0</v>
      </c>
      <c r="I45" s="5" t="s">
        <v>121</v>
      </c>
      <c r="K45" s="79">
        <f t="shared" si="16"/>
        <v>0</v>
      </c>
      <c r="L45" s="79">
        <f t="shared" si="16"/>
        <v>0</v>
      </c>
      <c r="M45" s="79">
        <f t="shared" si="16"/>
        <v>0</v>
      </c>
      <c r="N45" s="79">
        <f t="shared" si="16"/>
        <v>0</v>
      </c>
      <c r="O45" s="79">
        <f t="shared" si="16"/>
        <v>0</v>
      </c>
      <c r="P45" s="79">
        <f t="shared" si="16"/>
        <v>0</v>
      </c>
      <c r="Q45" s="79">
        <f t="shared" si="16"/>
        <v>0</v>
      </c>
      <c r="R45" s="79">
        <f t="shared" si="16"/>
        <v>0</v>
      </c>
      <c r="S45" s="79">
        <f t="shared" si="16"/>
        <v>0</v>
      </c>
      <c r="T45" s="79">
        <f t="shared" si="16"/>
        <v>0</v>
      </c>
      <c r="U45" s="79">
        <f t="shared" si="16"/>
        <v>0</v>
      </c>
    </row>
    <row r="46" spans="1:21" hidden="1" outlineLevel="1" x14ac:dyDescent="0.45">
      <c r="A46" s="163" t="s">
        <v>89</v>
      </c>
      <c r="B46" s="66"/>
      <c r="C46" s="66">
        <v>0</v>
      </c>
      <c r="D46" s="66">
        <v>10</v>
      </c>
      <c r="E46" s="66"/>
      <c r="F46" s="66"/>
      <c r="G46" s="114">
        <v>1</v>
      </c>
      <c r="H46" s="77">
        <f t="shared" si="17"/>
        <v>0</v>
      </c>
      <c r="I46" s="5" t="s">
        <v>117</v>
      </c>
      <c r="K46" s="79">
        <f t="shared" si="16"/>
        <v>0</v>
      </c>
      <c r="L46" s="79">
        <f t="shared" si="16"/>
        <v>0</v>
      </c>
      <c r="M46" s="79">
        <f t="shared" si="16"/>
        <v>0</v>
      </c>
      <c r="N46" s="79">
        <f t="shared" si="16"/>
        <v>0</v>
      </c>
      <c r="O46" s="79">
        <f t="shared" si="16"/>
        <v>0</v>
      </c>
      <c r="P46" s="79">
        <f t="shared" si="16"/>
        <v>0</v>
      </c>
      <c r="Q46" s="79">
        <f t="shared" si="16"/>
        <v>0</v>
      </c>
      <c r="R46" s="79">
        <f t="shared" si="16"/>
        <v>0</v>
      </c>
      <c r="S46" s="79">
        <f t="shared" si="16"/>
        <v>0</v>
      </c>
      <c r="T46" s="79">
        <f t="shared" si="16"/>
        <v>0</v>
      </c>
      <c r="U46" s="79">
        <f t="shared" si="16"/>
        <v>0</v>
      </c>
    </row>
    <row r="47" spans="1:21" hidden="1" outlineLevel="1" x14ac:dyDescent="0.45">
      <c r="A47" s="163" t="s">
        <v>105</v>
      </c>
      <c r="B47" s="66"/>
      <c r="C47" s="66">
        <v>0</v>
      </c>
      <c r="D47" s="66">
        <v>5</v>
      </c>
      <c r="E47" s="66"/>
      <c r="F47" s="66"/>
      <c r="G47" s="114">
        <v>1</v>
      </c>
      <c r="H47" s="77">
        <f t="shared" si="17"/>
        <v>0</v>
      </c>
      <c r="I47" s="5" t="s">
        <v>121</v>
      </c>
      <c r="K47" s="79">
        <f t="shared" si="16"/>
        <v>0</v>
      </c>
      <c r="L47" s="79">
        <f t="shared" si="16"/>
        <v>0</v>
      </c>
      <c r="M47" s="79">
        <f t="shared" si="16"/>
        <v>0</v>
      </c>
      <c r="N47" s="79">
        <f t="shared" si="16"/>
        <v>0</v>
      </c>
      <c r="O47" s="79">
        <f t="shared" si="16"/>
        <v>0</v>
      </c>
      <c r="P47" s="79">
        <f t="shared" si="16"/>
        <v>0</v>
      </c>
      <c r="Q47" s="79">
        <f t="shared" si="16"/>
        <v>0</v>
      </c>
      <c r="R47" s="79">
        <f t="shared" si="16"/>
        <v>0</v>
      </c>
      <c r="S47" s="79">
        <f t="shared" si="16"/>
        <v>0</v>
      </c>
      <c r="T47" s="79">
        <f t="shared" si="16"/>
        <v>0</v>
      </c>
      <c r="U47" s="79">
        <f t="shared" si="16"/>
        <v>0</v>
      </c>
    </row>
    <row r="48" spans="1:21" collapsed="1" x14ac:dyDescent="0.45">
      <c r="E48" s="66"/>
      <c r="F48" s="66"/>
    </row>
    <row r="49" spans="1:21" ht="15.75" customHeight="1" x14ac:dyDescent="0.45">
      <c r="A49" s="258" t="s">
        <v>167</v>
      </c>
      <c r="B49" s="96"/>
      <c r="C49" s="96"/>
      <c r="D49" s="96"/>
      <c r="E49" s="96"/>
      <c r="F49" s="105"/>
      <c r="G49" s="96"/>
      <c r="H49" s="96"/>
      <c r="I49" s="77">
        <f>SUMPRODUCT(C51:C63,I51:I63)/SUM(C51:C63)</f>
        <v>0.25</v>
      </c>
      <c r="K49" s="174">
        <f>K50+K60</f>
        <v>3740</v>
      </c>
      <c r="L49" s="174">
        <f t="shared" ref="L49:U49" si="18">L50+L60</f>
        <v>170</v>
      </c>
      <c r="M49" s="174">
        <f t="shared" si="18"/>
        <v>170</v>
      </c>
      <c r="N49" s="174">
        <f t="shared" si="18"/>
        <v>170</v>
      </c>
      <c r="O49" s="174">
        <f t="shared" si="18"/>
        <v>170</v>
      </c>
      <c r="P49" s="174">
        <f t="shared" si="18"/>
        <v>170</v>
      </c>
      <c r="Q49" s="174">
        <f t="shared" si="18"/>
        <v>170</v>
      </c>
      <c r="R49" s="174">
        <f t="shared" si="18"/>
        <v>170</v>
      </c>
      <c r="S49" s="174">
        <f t="shared" si="18"/>
        <v>170</v>
      </c>
      <c r="T49" s="174">
        <f t="shared" si="18"/>
        <v>170</v>
      </c>
      <c r="U49" s="174">
        <f t="shared" si="18"/>
        <v>3570</v>
      </c>
    </row>
    <row r="50" spans="1:21" ht="15.75" customHeight="1" x14ac:dyDescent="0.45">
      <c r="A50" s="2" t="s">
        <v>447</v>
      </c>
      <c r="F50" s="105"/>
      <c r="K50" s="174">
        <f>SUM(K51:K57)</f>
        <v>3740</v>
      </c>
      <c r="L50" s="174">
        <f t="shared" ref="L50:U50" si="19">SUM(L51:L57)</f>
        <v>170</v>
      </c>
      <c r="M50" s="174">
        <f t="shared" si="19"/>
        <v>170</v>
      </c>
      <c r="N50" s="174">
        <f t="shared" si="19"/>
        <v>170</v>
      </c>
      <c r="O50" s="174">
        <f t="shared" si="19"/>
        <v>170</v>
      </c>
      <c r="P50" s="174">
        <f t="shared" si="19"/>
        <v>170</v>
      </c>
      <c r="Q50" s="174">
        <f t="shared" si="19"/>
        <v>170</v>
      </c>
      <c r="R50" s="174">
        <f t="shared" si="19"/>
        <v>170</v>
      </c>
      <c r="S50" s="174">
        <f t="shared" si="19"/>
        <v>170</v>
      </c>
      <c r="T50" s="174">
        <f t="shared" si="19"/>
        <v>170</v>
      </c>
      <c r="U50" s="174">
        <f t="shared" si="19"/>
        <v>3570</v>
      </c>
    </row>
    <row r="51" spans="1:21" ht="15.75" customHeight="1" x14ac:dyDescent="0.45">
      <c r="A51" s="163" t="s">
        <v>446</v>
      </c>
      <c r="B51" s="66">
        <v>10</v>
      </c>
      <c r="C51" s="5">
        <v>1</v>
      </c>
      <c r="D51" s="99">
        <v>1</v>
      </c>
      <c r="E51" s="99"/>
      <c r="F51" s="105"/>
      <c r="G51" s="114">
        <v>1</v>
      </c>
      <c r="H51" s="77">
        <f t="shared" ref="H51:H53" si="20">C51*G51</f>
        <v>1</v>
      </c>
      <c r="I51" s="5">
        <v>0</v>
      </c>
      <c r="K51" s="79">
        <f t="shared" ref="K51:U57" si="21">(MOD(K$8,$D51)=0)*$B51*$C51*FISH_TANK</f>
        <v>170</v>
      </c>
      <c r="L51" s="79">
        <f t="shared" si="21"/>
        <v>170</v>
      </c>
      <c r="M51" s="79">
        <f t="shared" si="21"/>
        <v>170</v>
      </c>
      <c r="N51" s="79">
        <f t="shared" si="21"/>
        <v>170</v>
      </c>
      <c r="O51" s="79">
        <f t="shared" si="21"/>
        <v>170</v>
      </c>
      <c r="P51" s="79">
        <f t="shared" si="21"/>
        <v>170</v>
      </c>
      <c r="Q51" s="79">
        <f t="shared" si="21"/>
        <v>170</v>
      </c>
      <c r="R51" s="79">
        <f t="shared" si="21"/>
        <v>170</v>
      </c>
      <c r="S51" s="79">
        <f t="shared" si="21"/>
        <v>170</v>
      </c>
      <c r="T51" s="79">
        <f t="shared" si="21"/>
        <v>170</v>
      </c>
      <c r="U51" s="79">
        <f t="shared" si="21"/>
        <v>170</v>
      </c>
    </row>
    <row r="52" spans="1:21" ht="15.75" customHeight="1" x14ac:dyDescent="0.45">
      <c r="A52" s="165" t="s">
        <v>392</v>
      </c>
      <c r="B52" s="66">
        <v>10</v>
      </c>
      <c r="C52" s="66">
        <v>1</v>
      </c>
      <c r="D52" s="66">
        <v>20</v>
      </c>
      <c r="E52" s="66"/>
      <c r="F52" s="105"/>
      <c r="G52" s="114">
        <v>1.01</v>
      </c>
      <c r="H52" s="77">
        <f t="shared" si="20"/>
        <v>1.01</v>
      </c>
      <c r="I52" s="5">
        <v>0</v>
      </c>
      <c r="K52" s="79">
        <f t="shared" si="21"/>
        <v>170</v>
      </c>
      <c r="L52" s="79">
        <f t="shared" si="21"/>
        <v>0</v>
      </c>
      <c r="M52" s="79">
        <f t="shared" si="21"/>
        <v>0</v>
      </c>
      <c r="N52" s="79">
        <f t="shared" si="21"/>
        <v>0</v>
      </c>
      <c r="O52" s="79">
        <f t="shared" si="21"/>
        <v>0</v>
      </c>
      <c r="P52" s="79">
        <f t="shared" si="21"/>
        <v>0</v>
      </c>
      <c r="Q52" s="79">
        <f t="shared" si="21"/>
        <v>0</v>
      </c>
      <c r="R52" s="79">
        <f t="shared" si="21"/>
        <v>0</v>
      </c>
      <c r="S52" s="79">
        <f t="shared" si="21"/>
        <v>0</v>
      </c>
      <c r="T52" s="79">
        <f t="shared" si="21"/>
        <v>0</v>
      </c>
      <c r="U52" s="79">
        <f t="shared" si="21"/>
        <v>0</v>
      </c>
    </row>
    <row r="53" spans="1:21" ht="15.75" customHeight="1" x14ac:dyDescent="0.45">
      <c r="A53" s="165" t="s">
        <v>393</v>
      </c>
      <c r="B53" s="66">
        <v>10</v>
      </c>
      <c r="C53" s="66">
        <v>0</v>
      </c>
      <c r="D53" s="66">
        <v>20</v>
      </c>
      <c r="E53" s="66"/>
      <c r="F53" s="105"/>
      <c r="G53" s="114">
        <v>1.02</v>
      </c>
      <c r="H53" s="77">
        <f t="shared" si="20"/>
        <v>0</v>
      </c>
      <c r="I53" s="5">
        <v>0</v>
      </c>
      <c r="K53" s="79">
        <f t="shared" si="21"/>
        <v>0</v>
      </c>
      <c r="L53" s="79">
        <f t="shared" si="21"/>
        <v>0</v>
      </c>
      <c r="M53" s="79">
        <f t="shared" si="21"/>
        <v>0</v>
      </c>
      <c r="N53" s="79">
        <f t="shared" si="21"/>
        <v>0</v>
      </c>
      <c r="O53" s="79">
        <f t="shared" si="21"/>
        <v>0</v>
      </c>
      <c r="P53" s="79">
        <f t="shared" si="21"/>
        <v>0</v>
      </c>
      <c r="Q53" s="79">
        <f t="shared" si="21"/>
        <v>0</v>
      </c>
      <c r="R53" s="79">
        <f t="shared" si="21"/>
        <v>0</v>
      </c>
      <c r="S53" s="79">
        <f t="shared" si="21"/>
        <v>0</v>
      </c>
      <c r="T53" s="79">
        <f t="shared" si="21"/>
        <v>0</v>
      </c>
      <c r="U53" s="79">
        <f t="shared" si="21"/>
        <v>0</v>
      </c>
    </row>
    <row r="54" spans="1:21" ht="14.25" customHeight="1" x14ac:dyDescent="0.45">
      <c r="A54" s="165" t="s">
        <v>394</v>
      </c>
      <c r="B54" s="66">
        <v>200</v>
      </c>
      <c r="C54" s="66">
        <v>1</v>
      </c>
      <c r="D54" s="5">
        <v>10</v>
      </c>
      <c r="E54" s="5"/>
      <c r="F54" s="105"/>
      <c r="G54" s="114">
        <v>1.1100000000000001</v>
      </c>
      <c r="H54" s="77">
        <f>C54*G54</f>
        <v>1.1100000000000001</v>
      </c>
      <c r="I54" s="5">
        <v>0</v>
      </c>
      <c r="K54" s="79">
        <f t="shared" si="21"/>
        <v>3400</v>
      </c>
      <c r="L54" s="79">
        <f t="shared" si="21"/>
        <v>0</v>
      </c>
      <c r="M54" s="79">
        <f t="shared" si="21"/>
        <v>0</v>
      </c>
      <c r="N54" s="79">
        <f t="shared" si="21"/>
        <v>0</v>
      </c>
      <c r="O54" s="79">
        <f t="shared" si="21"/>
        <v>0</v>
      </c>
      <c r="P54" s="79">
        <f t="shared" si="21"/>
        <v>0</v>
      </c>
      <c r="Q54" s="79">
        <f t="shared" si="21"/>
        <v>0</v>
      </c>
      <c r="R54" s="79">
        <f t="shared" si="21"/>
        <v>0</v>
      </c>
      <c r="S54" s="79">
        <f t="shared" si="21"/>
        <v>0</v>
      </c>
      <c r="T54" s="79">
        <f t="shared" si="21"/>
        <v>0</v>
      </c>
      <c r="U54" s="79">
        <f t="shared" si="21"/>
        <v>3400</v>
      </c>
    </row>
    <row r="55" spans="1:21" outlineLevel="1" x14ac:dyDescent="0.45">
      <c r="A55" s="163" t="s">
        <v>106</v>
      </c>
      <c r="B55" s="169"/>
      <c r="C55" s="66">
        <v>0</v>
      </c>
      <c r="D55" s="5">
        <v>10</v>
      </c>
      <c r="E55" s="5"/>
      <c r="F55" s="105"/>
      <c r="G55" s="114">
        <v>1</v>
      </c>
      <c r="H55" s="77">
        <f t="shared" ref="H55:H57" si="22">C55*G55</f>
        <v>0</v>
      </c>
      <c r="I55" s="5">
        <v>1</v>
      </c>
      <c r="K55" s="79">
        <f t="shared" si="21"/>
        <v>0</v>
      </c>
      <c r="L55" s="79">
        <f t="shared" si="21"/>
        <v>0</v>
      </c>
      <c r="M55" s="79">
        <f t="shared" si="21"/>
        <v>0</v>
      </c>
      <c r="N55" s="79">
        <f t="shared" si="21"/>
        <v>0</v>
      </c>
      <c r="O55" s="79">
        <f t="shared" si="21"/>
        <v>0</v>
      </c>
      <c r="P55" s="79">
        <f t="shared" si="21"/>
        <v>0</v>
      </c>
      <c r="Q55" s="79">
        <f t="shared" si="21"/>
        <v>0</v>
      </c>
      <c r="R55" s="79">
        <f t="shared" si="21"/>
        <v>0</v>
      </c>
      <c r="S55" s="79">
        <f t="shared" si="21"/>
        <v>0</v>
      </c>
      <c r="T55" s="79">
        <f t="shared" si="21"/>
        <v>0</v>
      </c>
      <c r="U55" s="79">
        <f t="shared" si="21"/>
        <v>0</v>
      </c>
    </row>
    <row r="56" spans="1:21" outlineLevel="1" x14ac:dyDescent="0.45">
      <c r="A56" s="163" t="s">
        <v>107</v>
      </c>
      <c r="B56" s="169"/>
      <c r="C56" s="66">
        <v>0</v>
      </c>
      <c r="D56" s="5">
        <v>10</v>
      </c>
      <c r="E56" s="5"/>
      <c r="F56" s="105"/>
      <c r="G56" s="114">
        <v>1</v>
      </c>
      <c r="H56" s="77">
        <f t="shared" si="22"/>
        <v>0</v>
      </c>
      <c r="I56" s="5">
        <v>1</v>
      </c>
      <c r="K56" s="79">
        <f t="shared" si="21"/>
        <v>0</v>
      </c>
      <c r="L56" s="79">
        <f t="shared" si="21"/>
        <v>0</v>
      </c>
      <c r="M56" s="79">
        <f t="shared" si="21"/>
        <v>0</v>
      </c>
      <c r="N56" s="79">
        <f t="shared" si="21"/>
        <v>0</v>
      </c>
      <c r="O56" s="79">
        <f t="shared" si="21"/>
        <v>0</v>
      </c>
      <c r="P56" s="79">
        <f t="shared" si="21"/>
        <v>0</v>
      </c>
      <c r="Q56" s="79">
        <f t="shared" si="21"/>
        <v>0</v>
      </c>
      <c r="R56" s="79">
        <f t="shared" si="21"/>
        <v>0</v>
      </c>
      <c r="S56" s="79">
        <f t="shared" si="21"/>
        <v>0</v>
      </c>
      <c r="T56" s="79">
        <f t="shared" si="21"/>
        <v>0</v>
      </c>
      <c r="U56" s="79">
        <f t="shared" si="21"/>
        <v>0</v>
      </c>
    </row>
    <row r="57" spans="1:21" outlineLevel="1" x14ac:dyDescent="0.45">
      <c r="A57" s="163" t="s">
        <v>108</v>
      </c>
      <c r="B57" s="169"/>
      <c r="C57" s="66">
        <v>0</v>
      </c>
      <c r="D57" s="5">
        <v>10</v>
      </c>
      <c r="E57" s="5"/>
      <c r="F57" s="105"/>
      <c r="G57" s="114">
        <v>1</v>
      </c>
      <c r="H57" s="77">
        <f t="shared" si="22"/>
        <v>0</v>
      </c>
      <c r="I57" s="5">
        <v>0</v>
      </c>
      <c r="K57" s="79">
        <f t="shared" si="21"/>
        <v>0</v>
      </c>
      <c r="L57" s="79">
        <f t="shared" si="21"/>
        <v>0</v>
      </c>
      <c r="M57" s="79">
        <f t="shared" si="21"/>
        <v>0</v>
      </c>
      <c r="N57" s="79">
        <f t="shared" si="21"/>
        <v>0</v>
      </c>
      <c r="O57" s="79">
        <f t="shared" si="21"/>
        <v>0</v>
      </c>
      <c r="P57" s="79">
        <f t="shared" si="21"/>
        <v>0</v>
      </c>
      <c r="Q57" s="79">
        <f t="shared" si="21"/>
        <v>0</v>
      </c>
      <c r="R57" s="79">
        <f t="shared" si="21"/>
        <v>0</v>
      </c>
      <c r="S57" s="79">
        <f t="shared" si="21"/>
        <v>0</v>
      </c>
      <c r="T57" s="79">
        <f t="shared" si="21"/>
        <v>0</v>
      </c>
      <c r="U57" s="79">
        <f t="shared" si="21"/>
        <v>0</v>
      </c>
    </row>
    <row r="58" spans="1:21" x14ac:dyDescent="0.45">
      <c r="A58" s="2" t="s">
        <v>445</v>
      </c>
      <c r="B58" s="169"/>
      <c r="C58" s="5"/>
      <c r="D58" s="5"/>
      <c r="E58" s="5"/>
      <c r="F58" s="105"/>
      <c r="G58" s="5"/>
      <c r="H58" s="5"/>
      <c r="I58" s="5"/>
      <c r="K58" s="174">
        <f>SUM(K59:K62)</f>
        <v>8.3333333333333339</v>
      </c>
      <c r="L58" s="174">
        <f t="shared" ref="L58:U58" si="23">SUM(L59:L62)</f>
        <v>0</v>
      </c>
      <c r="M58" s="174">
        <f t="shared" si="23"/>
        <v>0</v>
      </c>
      <c r="N58" s="174">
        <f t="shared" si="23"/>
        <v>0</v>
      </c>
      <c r="O58" s="174">
        <f t="shared" si="23"/>
        <v>0</v>
      </c>
      <c r="P58" s="174">
        <f t="shared" si="23"/>
        <v>0</v>
      </c>
      <c r="Q58" s="174">
        <f t="shared" si="23"/>
        <v>0</v>
      </c>
      <c r="R58" s="174">
        <f t="shared" si="23"/>
        <v>0</v>
      </c>
      <c r="S58" s="174">
        <f t="shared" si="23"/>
        <v>0</v>
      </c>
      <c r="T58" s="174">
        <f t="shared" si="23"/>
        <v>0</v>
      </c>
      <c r="U58" s="174">
        <f t="shared" si="23"/>
        <v>8.3333333333333339</v>
      </c>
    </row>
    <row r="59" spans="1:21" x14ac:dyDescent="0.45">
      <c r="A59" s="165" t="s">
        <v>110</v>
      </c>
      <c r="B59" s="171">
        <f>20000*5/12000</f>
        <v>8.3333333333333339</v>
      </c>
      <c r="C59" s="5">
        <v>1</v>
      </c>
      <c r="D59" s="5">
        <v>10</v>
      </c>
      <c r="E59" s="5"/>
      <c r="F59" s="105"/>
      <c r="G59" s="77"/>
      <c r="H59" s="77"/>
      <c r="I59" s="5">
        <v>1</v>
      </c>
      <c r="K59" s="79">
        <f>(MOD(K$8,$D59)=0)*$B59*$C59</f>
        <v>8.3333333333333339</v>
      </c>
      <c r="L59" s="79">
        <f t="shared" ref="L59:U59" si="24">(MOD(L$8,$D59)=0)*$B59*$C59</f>
        <v>0</v>
      </c>
      <c r="M59" s="79">
        <f t="shared" si="24"/>
        <v>0</v>
      </c>
      <c r="N59" s="79">
        <f t="shared" si="24"/>
        <v>0</v>
      </c>
      <c r="O59" s="79">
        <f t="shared" si="24"/>
        <v>0</v>
      </c>
      <c r="P59" s="79">
        <f t="shared" si="24"/>
        <v>0</v>
      </c>
      <c r="Q59" s="79">
        <f t="shared" si="24"/>
        <v>0</v>
      </c>
      <c r="R59" s="79">
        <f t="shared" si="24"/>
        <v>0</v>
      </c>
      <c r="S59" s="79">
        <f t="shared" si="24"/>
        <v>0</v>
      </c>
      <c r="T59" s="79">
        <f t="shared" si="24"/>
        <v>0</v>
      </c>
      <c r="U59" s="79">
        <f t="shared" si="24"/>
        <v>8.3333333333333339</v>
      </c>
    </row>
    <row r="60" spans="1:21" outlineLevel="1" x14ac:dyDescent="0.45">
      <c r="A60" s="163" t="s">
        <v>109</v>
      </c>
      <c r="B60" s="66"/>
      <c r="C60" s="5">
        <v>0</v>
      </c>
      <c r="D60" s="5">
        <v>10</v>
      </c>
      <c r="E60" s="5">
        <v>4</v>
      </c>
      <c r="F60" s="105">
        <f>E60*365*RAS_VOLUME</f>
        <v>201016.37593449626</v>
      </c>
      <c r="G60" s="77"/>
      <c r="H60" s="77"/>
      <c r="I60" s="5">
        <v>1</v>
      </c>
      <c r="K60" s="79">
        <f t="shared" ref="K60:U62" si="25">(MOD(K$8,$D60)=0)*$B60*$C60</f>
        <v>0</v>
      </c>
      <c r="L60" s="79">
        <f t="shared" si="25"/>
        <v>0</v>
      </c>
      <c r="M60" s="79">
        <f t="shared" si="25"/>
        <v>0</v>
      </c>
      <c r="N60" s="79">
        <f t="shared" si="25"/>
        <v>0</v>
      </c>
      <c r="O60" s="79">
        <f t="shared" si="25"/>
        <v>0</v>
      </c>
      <c r="P60" s="79">
        <f t="shared" si="25"/>
        <v>0</v>
      </c>
      <c r="Q60" s="79">
        <f t="shared" si="25"/>
        <v>0</v>
      </c>
      <c r="R60" s="79">
        <f t="shared" si="25"/>
        <v>0</v>
      </c>
      <c r="S60" s="79">
        <f t="shared" si="25"/>
        <v>0</v>
      </c>
      <c r="T60" s="79">
        <f t="shared" si="25"/>
        <v>0</v>
      </c>
      <c r="U60" s="79">
        <f t="shared" si="25"/>
        <v>0</v>
      </c>
    </row>
    <row r="61" spans="1:21" outlineLevel="1" x14ac:dyDescent="0.45">
      <c r="A61" s="163" t="s">
        <v>444</v>
      </c>
      <c r="B61" s="170"/>
      <c r="C61" s="5">
        <v>0</v>
      </c>
      <c r="D61" s="5">
        <v>10</v>
      </c>
      <c r="E61" s="5"/>
      <c r="F61" s="105"/>
      <c r="G61" s="77"/>
      <c r="H61" s="77"/>
      <c r="I61" s="5">
        <v>0</v>
      </c>
      <c r="K61" s="79">
        <f t="shared" si="25"/>
        <v>0</v>
      </c>
      <c r="L61" s="79">
        <f t="shared" si="25"/>
        <v>0</v>
      </c>
      <c r="M61" s="79">
        <f t="shared" si="25"/>
        <v>0</v>
      </c>
      <c r="N61" s="79">
        <f t="shared" si="25"/>
        <v>0</v>
      </c>
      <c r="O61" s="79">
        <f t="shared" si="25"/>
        <v>0</v>
      </c>
      <c r="P61" s="79">
        <f t="shared" si="25"/>
        <v>0</v>
      </c>
      <c r="Q61" s="79">
        <f t="shared" si="25"/>
        <v>0</v>
      </c>
      <c r="R61" s="79">
        <f t="shared" si="25"/>
        <v>0</v>
      </c>
      <c r="S61" s="79">
        <f t="shared" si="25"/>
        <v>0</v>
      </c>
      <c r="T61" s="79">
        <f t="shared" si="25"/>
        <v>0</v>
      </c>
      <c r="U61" s="79">
        <f t="shared" si="25"/>
        <v>0</v>
      </c>
    </row>
    <row r="62" spans="1:21" outlineLevel="1" x14ac:dyDescent="0.45">
      <c r="A62" s="163" t="s">
        <v>111</v>
      </c>
      <c r="B62" s="98">
        <f>50000*5/390</f>
        <v>641.02564102564099</v>
      </c>
      <c r="C62" s="5">
        <v>0</v>
      </c>
      <c r="D62" s="5">
        <v>20</v>
      </c>
      <c r="E62" s="5"/>
      <c r="F62" s="105"/>
      <c r="G62" s="77"/>
      <c r="H62" s="77"/>
      <c r="I62" s="5">
        <v>0</v>
      </c>
      <c r="K62" s="79">
        <f t="shared" si="25"/>
        <v>0</v>
      </c>
      <c r="L62" s="79">
        <f t="shared" si="25"/>
        <v>0</v>
      </c>
      <c r="M62" s="79">
        <f t="shared" si="25"/>
        <v>0</v>
      </c>
      <c r="N62" s="79">
        <f t="shared" si="25"/>
        <v>0</v>
      </c>
      <c r="O62" s="79">
        <f t="shared" si="25"/>
        <v>0</v>
      </c>
      <c r="P62" s="79">
        <f t="shared" si="25"/>
        <v>0</v>
      </c>
      <c r="Q62" s="79">
        <f t="shared" si="25"/>
        <v>0</v>
      </c>
      <c r="R62" s="79">
        <f t="shared" si="25"/>
        <v>0</v>
      </c>
      <c r="S62" s="79">
        <f t="shared" si="25"/>
        <v>0</v>
      </c>
      <c r="T62" s="79">
        <f t="shared" si="25"/>
        <v>0</v>
      </c>
      <c r="U62" s="79">
        <f t="shared" si="25"/>
        <v>0</v>
      </c>
    </row>
    <row r="63" spans="1:21" ht="14.25" customHeight="1" x14ac:dyDescent="0.45">
      <c r="B63" s="5"/>
      <c r="C63" s="5"/>
      <c r="F63" s="21"/>
    </row>
    <row r="64" spans="1:21" ht="14.25" customHeight="1" x14ac:dyDescent="0.45">
      <c r="A64" s="258" t="s">
        <v>37</v>
      </c>
      <c r="B64" s="79"/>
      <c r="C64" s="79"/>
      <c r="D64" s="79"/>
      <c r="E64" s="79"/>
      <c r="F64" s="219"/>
      <c r="G64" s="79"/>
      <c r="H64" s="79"/>
      <c r="I64" s="79"/>
      <c r="K64" s="174">
        <f>K65+K70</f>
        <v>64641.001568237298</v>
      </c>
      <c r="L64" s="174">
        <f t="shared" ref="L64:U64" si="26">L65+L70</f>
        <v>20000</v>
      </c>
      <c r="M64" s="174">
        <f t="shared" si="26"/>
        <v>20000</v>
      </c>
      <c r="N64" s="174">
        <f t="shared" si="26"/>
        <v>20000</v>
      </c>
      <c r="O64" s="174">
        <f t="shared" si="26"/>
        <v>20000</v>
      </c>
      <c r="P64" s="174">
        <f t="shared" si="26"/>
        <v>20000</v>
      </c>
      <c r="Q64" s="174">
        <f t="shared" si="26"/>
        <v>20000</v>
      </c>
      <c r="R64" s="174">
        <f t="shared" si="26"/>
        <v>20000</v>
      </c>
      <c r="S64" s="174">
        <f t="shared" si="26"/>
        <v>20000</v>
      </c>
      <c r="T64" s="174">
        <f t="shared" si="26"/>
        <v>20000</v>
      </c>
      <c r="U64" s="174">
        <f t="shared" si="26"/>
        <v>25000</v>
      </c>
    </row>
    <row r="65" spans="1:21" x14ac:dyDescent="0.45">
      <c r="A65" s="2" t="s">
        <v>449</v>
      </c>
      <c r="B65" s="5"/>
      <c r="C65" s="5"/>
      <c r="D65" s="5"/>
      <c r="E65" s="5"/>
      <c r="F65" s="21"/>
      <c r="K65" s="174">
        <f>SUM(K66:K72)</f>
        <v>54760.001045491532</v>
      </c>
      <c r="L65" s="174">
        <f t="shared" ref="L65:U65" si="27">SUM(L66:L72)</f>
        <v>20000</v>
      </c>
      <c r="M65" s="174">
        <f t="shared" si="27"/>
        <v>20000</v>
      </c>
      <c r="N65" s="174">
        <f t="shared" si="27"/>
        <v>20000</v>
      </c>
      <c r="O65" s="174">
        <f t="shared" si="27"/>
        <v>20000</v>
      </c>
      <c r="P65" s="174">
        <f t="shared" si="27"/>
        <v>20000</v>
      </c>
      <c r="Q65" s="174">
        <f t="shared" si="27"/>
        <v>20000</v>
      </c>
      <c r="R65" s="174">
        <f t="shared" si="27"/>
        <v>20000</v>
      </c>
      <c r="S65" s="174">
        <f t="shared" si="27"/>
        <v>20000</v>
      </c>
      <c r="T65" s="174">
        <f t="shared" si="27"/>
        <v>20000</v>
      </c>
      <c r="U65" s="174">
        <f t="shared" si="27"/>
        <v>25000</v>
      </c>
    </row>
    <row r="66" spans="1:21" x14ac:dyDescent="0.45">
      <c r="A66" s="163" t="s">
        <v>429</v>
      </c>
      <c r="B66" s="103">
        <v>20</v>
      </c>
      <c r="C66" s="5">
        <v>1</v>
      </c>
      <c r="D66" s="5">
        <v>1</v>
      </c>
      <c r="E66" s="5"/>
      <c r="F66" s="21"/>
      <c r="G66" s="77"/>
      <c r="H66" s="77"/>
      <c r="K66" s="79">
        <f t="shared" ref="K66:U69" si="28">(MOD(K$8,$D66)=0)*$B66*$C66*TOTAL_AREA</f>
        <v>20000</v>
      </c>
      <c r="L66" s="79">
        <f t="shared" si="28"/>
        <v>20000</v>
      </c>
      <c r="M66" s="79">
        <f t="shared" si="28"/>
        <v>20000</v>
      </c>
      <c r="N66" s="79">
        <f t="shared" si="28"/>
        <v>20000</v>
      </c>
      <c r="O66" s="79">
        <f t="shared" si="28"/>
        <v>20000</v>
      </c>
      <c r="P66" s="79">
        <f t="shared" si="28"/>
        <v>20000</v>
      </c>
      <c r="Q66" s="79">
        <f t="shared" si="28"/>
        <v>20000</v>
      </c>
      <c r="R66" s="79">
        <f t="shared" si="28"/>
        <v>20000</v>
      </c>
      <c r="S66" s="79">
        <f t="shared" si="28"/>
        <v>20000</v>
      </c>
      <c r="T66" s="79">
        <f t="shared" si="28"/>
        <v>20000</v>
      </c>
      <c r="U66" s="79">
        <f t="shared" si="28"/>
        <v>20000</v>
      </c>
    </row>
    <row r="67" spans="1:21" x14ac:dyDescent="0.45">
      <c r="A67" s="163" t="s">
        <v>430</v>
      </c>
      <c r="B67" s="103">
        <v>10</v>
      </c>
      <c r="C67" s="5">
        <v>1</v>
      </c>
      <c r="D67" s="5">
        <v>20</v>
      </c>
      <c r="E67" s="5"/>
      <c r="F67" s="21"/>
      <c r="G67" s="77"/>
      <c r="H67" s="77"/>
      <c r="K67" s="79">
        <f t="shared" si="28"/>
        <v>10000</v>
      </c>
      <c r="L67" s="79">
        <f t="shared" si="28"/>
        <v>0</v>
      </c>
      <c r="M67" s="79">
        <f t="shared" si="28"/>
        <v>0</v>
      </c>
      <c r="N67" s="79">
        <f t="shared" si="28"/>
        <v>0</v>
      </c>
      <c r="O67" s="79">
        <f t="shared" si="28"/>
        <v>0</v>
      </c>
      <c r="P67" s="79">
        <f t="shared" si="28"/>
        <v>0</v>
      </c>
      <c r="Q67" s="79">
        <f t="shared" si="28"/>
        <v>0</v>
      </c>
      <c r="R67" s="79">
        <f t="shared" si="28"/>
        <v>0</v>
      </c>
      <c r="S67" s="79">
        <f t="shared" si="28"/>
        <v>0</v>
      </c>
      <c r="T67" s="79">
        <f t="shared" si="28"/>
        <v>0</v>
      </c>
      <c r="U67" s="79">
        <f t="shared" si="28"/>
        <v>0</v>
      </c>
    </row>
    <row r="68" spans="1:21" x14ac:dyDescent="0.45">
      <c r="A68" s="163" t="s">
        <v>112</v>
      </c>
      <c r="B68" s="103">
        <v>5</v>
      </c>
      <c r="C68" s="5">
        <v>1</v>
      </c>
      <c r="D68" s="5">
        <v>10</v>
      </c>
      <c r="E68" s="5"/>
      <c r="F68" s="66"/>
      <c r="G68" s="77"/>
      <c r="H68" s="77"/>
      <c r="K68" s="79">
        <f t="shared" si="28"/>
        <v>5000</v>
      </c>
      <c r="L68" s="79">
        <f t="shared" si="28"/>
        <v>0</v>
      </c>
      <c r="M68" s="79">
        <f t="shared" si="28"/>
        <v>0</v>
      </c>
      <c r="N68" s="79">
        <f t="shared" si="28"/>
        <v>0</v>
      </c>
      <c r="O68" s="79">
        <f t="shared" si="28"/>
        <v>0</v>
      </c>
      <c r="P68" s="79">
        <f t="shared" si="28"/>
        <v>0</v>
      </c>
      <c r="Q68" s="79">
        <f t="shared" si="28"/>
        <v>0</v>
      </c>
      <c r="R68" s="79">
        <f t="shared" si="28"/>
        <v>0</v>
      </c>
      <c r="S68" s="79">
        <f t="shared" si="28"/>
        <v>0</v>
      </c>
      <c r="T68" s="79">
        <f t="shared" si="28"/>
        <v>0</v>
      </c>
      <c r="U68" s="79">
        <f t="shared" si="28"/>
        <v>5000</v>
      </c>
    </row>
    <row r="69" spans="1:21" x14ac:dyDescent="0.45">
      <c r="A69" s="163" t="s">
        <v>113</v>
      </c>
      <c r="B69" s="103">
        <v>1000</v>
      </c>
      <c r="C69" s="66">
        <v>0</v>
      </c>
      <c r="D69" s="66">
        <v>15</v>
      </c>
      <c r="E69" s="66"/>
      <c r="F69" s="21"/>
      <c r="G69" s="77"/>
      <c r="H69" s="77"/>
      <c r="K69" s="79">
        <f t="shared" si="28"/>
        <v>0</v>
      </c>
      <c r="L69" s="79">
        <f t="shared" si="28"/>
        <v>0</v>
      </c>
      <c r="M69" s="79">
        <f t="shared" si="28"/>
        <v>0</v>
      </c>
      <c r="N69" s="79">
        <f t="shared" si="28"/>
        <v>0</v>
      </c>
      <c r="O69" s="79">
        <f t="shared" si="28"/>
        <v>0</v>
      </c>
      <c r="P69" s="79">
        <f t="shared" si="28"/>
        <v>0</v>
      </c>
      <c r="Q69" s="79">
        <f t="shared" si="28"/>
        <v>0</v>
      </c>
      <c r="R69" s="79">
        <f t="shared" si="28"/>
        <v>0</v>
      </c>
      <c r="S69" s="79">
        <f t="shared" si="28"/>
        <v>0</v>
      </c>
      <c r="T69" s="79">
        <f t="shared" si="28"/>
        <v>0</v>
      </c>
      <c r="U69" s="79">
        <f t="shared" si="28"/>
        <v>0</v>
      </c>
    </row>
    <row r="70" spans="1:21" x14ac:dyDescent="0.45">
      <c r="A70" s="2" t="s">
        <v>448</v>
      </c>
      <c r="B70" s="5"/>
      <c r="C70" s="5"/>
      <c r="D70" s="5"/>
      <c r="E70" s="5"/>
      <c r="F70" s="21"/>
      <c r="K70" s="174">
        <f>SUM(K71:K74)</f>
        <v>9881.0005227457677</v>
      </c>
    </row>
    <row r="71" spans="1:21" x14ac:dyDescent="0.45">
      <c r="A71" s="163" t="s">
        <v>195</v>
      </c>
      <c r="B71" s="173">
        <v>0.03</v>
      </c>
      <c r="C71" s="5">
        <v>1</v>
      </c>
      <c r="D71" s="5">
        <v>20</v>
      </c>
      <c r="E71" s="5"/>
      <c r="F71" s="21"/>
      <c r="G71" s="77"/>
      <c r="H71" s="77"/>
      <c r="K71" s="79">
        <f>(MOD(K$8,$D71)=0)*$B71*$C71*Revenues!J4</f>
        <v>9879.0005227457677</v>
      </c>
    </row>
    <row r="72" spans="1:21" x14ac:dyDescent="0.45">
      <c r="B72" s="5"/>
      <c r="C72" s="5"/>
      <c r="F72" s="21"/>
    </row>
    <row r="73" spans="1:21" ht="18" x14ac:dyDescent="0.45">
      <c r="A73" s="259" t="s">
        <v>169</v>
      </c>
      <c r="B73" s="95"/>
      <c r="C73" s="95"/>
      <c r="D73" s="95"/>
      <c r="E73" s="95"/>
      <c r="F73" s="95"/>
      <c r="G73" s="95"/>
      <c r="H73" s="95"/>
      <c r="I73" s="95"/>
      <c r="K73" s="174">
        <f>K74</f>
        <v>1</v>
      </c>
      <c r="L73" s="174">
        <f t="shared" ref="L73:U73" si="29">L74</f>
        <v>1</v>
      </c>
      <c r="M73" s="174">
        <f t="shared" si="29"/>
        <v>1</v>
      </c>
      <c r="N73" s="174">
        <f t="shared" si="29"/>
        <v>1</v>
      </c>
      <c r="O73" s="174">
        <f t="shared" si="29"/>
        <v>1</v>
      </c>
      <c r="P73" s="174">
        <f t="shared" si="29"/>
        <v>1</v>
      </c>
      <c r="Q73" s="174">
        <f t="shared" si="29"/>
        <v>1</v>
      </c>
      <c r="R73" s="174">
        <f t="shared" si="29"/>
        <v>1</v>
      </c>
      <c r="S73" s="174">
        <f t="shared" si="29"/>
        <v>1</v>
      </c>
      <c r="T73" s="174">
        <f t="shared" si="29"/>
        <v>1</v>
      </c>
      <c r="U73" s="174">
        <f t="shared" si="29"/>
        <v>1</v>
      </c>
    </row>
    <row r="74" spans="1:21" ht="14.25" customHeight="1" x14ac:dyDescent="0.45">
      <c r="A74" s="5" t="s">
        <v>443</v>
      </c>
      <c r="B74" s="103">
        <v>1</v>
      </c>
      <c r="K74" s="79">
        <f>B74</f>
        <v>1</v>
      </c>
      <c r="L74" s="79">
        <f>K74</f>
        <v>1</v>
      </c>
      <c r="M74" s="79">
        <f t="shared" ref="M74:U74" si="30">L74</f>
        <v>1</v>
      </c>
      <c r="N74" s="79">
        <f t="shared" si="30"/>
        <v>1</v>
      </c>
      <c r="O74" s="79">
        <f t="shared" si="30"/>
        <v>1</v>
      </c>
      <c r="P74" s="79">
        <f t="shared" si="30"/>
        <v>1</v>
      </c>
      <c r="Q74" s="79">
        <f t="shared" si="30"/>
        <v>1</v>
      </c>
      <c r="R74" s="79">
        <f t="shared" si="30"/>
        <v>1</v>
      </c>
      <c r="S74" s="79">
        <f t="shared" si="30"/>
        <v>1</v>
      </c>
      <c r="T74" s="79">
        <f t="shared" si="30"/>
        <v>1</v>
      </c>
      <c r="U74" s="79">
        <f t="shared" si="30"/>
        <v>1</v>
      </c>
    </row>
    <row r="75" spans="1:21" x14ac:dyDescent="0.45">
      <c r="B75" s="5"/>
      <c r="C75" s="5"/>
    </row>
    <row r="76" spans="1:21" x14ac:dyDescent="0.45">
      <c r="B76" s="5"/>
      <c r="C76" s="5"/>
    </row>
    <row r="77" spans="1:21" x14ac:dyDescent="0.45">
      <c r="B77" s="5"/>
      <c r="C77" s="5"/>
    </row>
    <row r="78" spans="1:21" x14ac:dyDescent="0.45">
      <c r="B78" s="5"/>
      <c r="C78" s="5"/>
    </row>
  </sheetData>
  <mergeCells count="1">
    <mergeCell ref="A2:A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05B0-CCA9-4EF8-A25F-DB11B337C1CE}">
  <sheetPr>
    <tabColor rgb="FFFFC000"/>
  </sheetPr>
  <dimension ref="A1:M18"/>
  <sheetViews>
    <sheetView showGridLines="0" zoomScale="80" zoomScaleNormal="80" workbookViewId="0">
      <selection activeCell="F11" sqref="F11"/>
    </sheetView>
  </sheetViews>
  <sheetFormatPr defaultRowHeight="14.25" x14ac:dyDescent="0.45"/>
  <cols>
    <col min="1" max="1" width="21.9296875" customWidth="1"/>
    <col min="2" max="2" width="13.6640625" bestFit="1" customWidth="1"/>
    <col min="3" max="3" width="14.796875" customWidth="1"/>
    <col min="4" max="4" width="15.86328125" customWidth="1"/>
    <col min="5" max="6" width="13.6640625" bestFit="1" customWidth="1"/>
    <col min="7" max="17" width="12.265625" customWidth="1"/>
  </cols>
  <sheetData>
    <row r="1" spans="1:13" ht="18.399999999999999" thickBot="1" x14ac:dyDescent="0.6">
      <c r="A1" s="67" t="s">
        <v>176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8" x14ac:dyDescent="0.55000000000000004">
      <c r="A2" s="22"/>
      <c r="H2" s="9"/>
      <c r="I2" s="10"/>
      <c r="J2" s="11" t="s">
        <v>61</v>
      </c>
      <c r="K2" s="10"/>
      <c r="L2" s="12"/>
    </row>
    <row r="3" spans="1:13" ht="18" x14ac:dyDescent="0.55000000000000004">
      <c r="A3" s="22" t="s">
        <v>252</v>
      </c>
      <c r="C3" s="79">
        <f>Investment!K4</f>
        <v>257829.30106950173</v>
      </c>
      <c r="H3" s="13" t="s">
        <v>62</v>
      </c>
      <c r="I3" s="78">
        <f>B5</f>
        <v>3.878535123245884E-2</v>
      </c>
      <c r="J3" s="74">
        <f>D5</f>
        <v>0.17100000000000001</v>
      </c>
      <c r="K3" s="79">
        <f>$C$3*I3</f>
        <v>10000</v>
      </c>
      <c r="L3" s="75">
        <f>J3*I3</f>
        <v>6.6322950607504618E-3</v>
      </c>
    </row>
    <row r="4" spans="1:13" x14ac:dyDescent="0.45">
      <c r="D4" t="s">
        <v>178</v>
      </c>
      <c r="H4" s="13" t="s">
        <v>63</v>
      </c>
      <c r="I4" s="78">
        <f>B8</f>
        <v>0.96121464876754115</v>
      </c>
      <c r="J4" s="74">
        <f>D8</f>
        <v>0.1186</v>
      </c>
      <c r="K4" s="79">
        <f>$C$3*I4</f>
        <v>247829.30106950173</v>
      </c>
      <c r="L4" s="75">
        <f>J4*I4</f>
        <v>0.11400005734383038</v>
      </c>
    </row>
    <row r="5" spans="1:13" ht="18.399999999999999" thickBot="1" x14ac:dyDescent="0.6">
      <c r="A5" s="83" t="s">
        <v>177</v>
      </c>
      <c r="B5" s="77">
        <f>C5/C3</f>
        <v>3.878535123245884E-2</v>
      </c>
      <c r="C5" s="79">
        <f>Framework!M5</f>
        <v>10000</v>
      </c>
      <c r="D5" s="65">
        <v>0.17100000000000001</v>
      </c>
      <c r="H5" s="25"/>
      <c r="I5" s="14"/>
      <c r="J5" s="14"/>
      <c r="K5" s="15" t="s">
        <v>59</v>
      </c>
      <c r="L5" s="76">
        <f>SUM(L3:L4)</f>
        <v>0.12063235240458084</v>
      </c>
    </row>
    <row r="6" spans="1:13" x14ac:dyDescent="0.45">
      <c r="A6" s="84"/>
      <c r="B6" s="220"/>
      <c r="C6" s="64"/>
      <c r="D6" s="304" t="s">
        <v>179</v>
      </c>
      <c r="E6" s="305"/>
      <c r="F6" s="306"/>
    </row>
    <row r="7" spans="1:13" x14ac:dyDescent="0.45">
      <c r="A7" s="84"/>
      <c r="B7" s="221"/>
      <c r="D7" s="88" t="s">
        <v>389</v>
      </c>
      <c r="E7" t="s">
        <v>181</v>
      </c>
      <c r="F7" s="89" t="s">
        <v>182</v>
      </c>
      <c r="G7" s="82" t="s">
        <v>183</v>
      </c>
    </row>
    <row r="8" spans="1:13" ht="18.399999999999999" thickBot="1" x14ac:dyDescent="0.6">
      <c r="A8" s="83" t="s">
        <v>180</v>
      </c>
      <c r="B8" s="77">
        <f>1-B5</f>
        <v>0.96121464876754115</v>
      </c>
      <c r="C8" s="79">
        <f>B8*C3</f>
        <v>247829.30106950173</v>
      </c>
      <c r="D8" s="90">
        <v>0.1186</v>
      </c>
      <c r="E8" s="91">
        <v>0</v>
      </c>
      <c r="F8" s="91">
        <v>10</v>
      </c>
      <c r="G8" s="218">
        <f>C8/(F8-E8)</f>
        <v>24782.930106950174</v>
      </c>
    </row>
    <row r="9" spans="1:13" x14ac:dyDescent="0.45">
      <c r="C9" s="4"/>
      <c r="D9" s="64"/>
      <c r="F9" s="87"/>
    </row>
    <row r="10" spans="1:13" x14ac:dyDescent="0.45">
      <c r="D10" s="64"/>
    </row>
    <row r="11" spans="1:13" ht="18" x14ac:dyDescent="0.55000000000000004">
      <c r="B11" s="22" t="s">
        <v>204</v>
      </c>
      <c r="L11" s="84" t="s">
        <v>391</v>
      </c>
      <c r="M11" s="81">
        <f>SUM(D17:M17)</f>
        <v>161659.05308763601</v>
      </c>
    </row>
    <row r="12" spans="1:13" x14ac:dyDescent="0.4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45">
      <c r="B13" s="166" t="s">
        <v>251</v>
      </c>
      <c r="C13" s="5">
        <v>0</v>
      </c>
      <c r="D13" s="5">
        <v>1</v>
      </c>
      <c r="E13" s="5">
        <v>2</v>
      </c>
      <c r="F13" s="5">
        <v>3</v>
      </c>
      <c r="G13" s="5">
        <v>4</v>
      </c>
      <c r="H13" s="5">
        <v>5</v>
      </c>
      <c r="I13" s="5">
        <v>6</v>
      </c>
      <c r="J13" s="5">
        <v>7</v>
      </c>
      <c r="K13" s="5">
        <v>8</v>
      </c>
      <c r="L13" s="5">
        <v>9</v>
      </c>
      <c r="M13" s="5">
        <v>10</v>
      </c>
    </row>
    <row r="14" spans="1:13" x14ac:dyDescent="0.45">
      <c r="B14" s="84" t="s">
        <v>205</v>
      </c>
      <c r="C14" s="79">
        <f>C8</f>
        <v>247829.30106950173</v>
      </c>
      <c r="D14" s="79">
        <f>C14</f>
        <v>247829.30106950173</v>
      </c>
      <c r="E14" s="79">
        <f>D18</f>
        <v>223046.37096255156</v>
      </c>
      <c r="F14" s="79">
        <f t="shared" ref="F14:M14" si="0">E18</f>
        <v>198263.4408556014</v>
      </c>
      <c r="G14" s="79">
        <f t="shared" si="0"/>
        <v>173480.51074865123</v>
      </c>
      <c r="H14" s="79">
        <f t="shared" si="0"/>
        <v>148697.58064170106</v>
      </c>
      <c r="I14" s="79">
        <f t="shared" si="0"/>
        <v>123914.65053475089</v>
      </c>
      <c r="J14" s="79">
        <f t="shared" si="0"/>
        <v>99131.720427800727</v>
      </c>
      <c r="K14" s="79">
        <f t="shared" si="0"/>
        <v>74348.79032085056</v>
      </c>
      <c r="L14" s="79">
        <f>K18</f>
        <v>49565.860213900385</v>
      </c>
      <c r="M14" s="79">
        <f t="shared" si="0"/>
        <v>24782.930106950211</v>
      </c>
    </row>
    <row r="15" spans="1:13" x14ac:dyDescent="0.45">
      <c r="B15" s="84" t="s">
        <v>184</v>
      </c>
      <c r="D15" s="79">
        <f t="shared" ref="D15:M15" si="1">IF(D14=0,,IF(D13&lt;=$E$8,0,$G$8))</f>
        <v>24782.930106950174</v>
      </c>
      <c r="E15" s="79">
        <f t="shared" si="1"/>
        <v>24782.930106950174</v>
      </c>
      <c r="F15" s="79">
        <f t="shared" si="1"/>
        <v>24782.930106950174</v>
      </c>
      <c r="G15" s="79">
        <f t="shared" si="1"/>
        <v>24782.930106950174</v>
      </c>
      <c r="H15" s="79">
        <f t="shared" si="1"/>
        <v>24782.930106950174</v>
      </c>
      <c r="I15" s="79">
        <f t="shared" si="1"/>
        <v>24782.930106950174</v>
      </c>
      <c r="J15" s="79">
        <f t="shared" si="1"/>
        <v>24782.930106950174</v>
      </c>
      <c r="K15" s="79">
        <f t="shared" si="1"/>
        <v>24782.930106950174</v>
      </c>
      <c r="L15" s="79">
        <f t="shared" si="1"/>
        <v>24782.930106950174</v>
      </c>
      <c r="M15" s="79">
        <f t="shared" si="1"/>
        <v>24782.930106950174</v>
      </c>
    </row>
    <row r="16" spans="1:13" x14ac:dyDescent="0.45">
      <c r="B16" s="84" t="s">
        <v>185</v>
      </c>
      <c r="D16" s="79">
        <f>D15+D17</f>
        <v>54175.485213793079</v>
      </c>
      <c r="E16" s="79">
        <f t="shared" ref="E16:M16" si="2">E15+E17</f>
        <v>51236.229703108787</v>
      </c>
      <c r="F16" s="79">
        <f t="shared" si="2"/>
        <v>48296.974192424503</v>
      </c>
      <c r="G16" s="79">
        <f t="shared" si="2"/>
        <v>45357.718681740211</v>
      </c>
      <c r="H16" s="79">
        <f t="shared" si="2"/>
        <v>42418.463171055919</v>
      </c>
      <c r="I16" s="79">
        <f t="shared" si="2"/>
        <v>39479.207660371627</v>
      </c>
      <c r="J16" s="79">
        <f t="shared" si="2"/>
        <v>36539.952149687342</v>
      </c>
      <c r="K16" s="79">
        <f t="shared" si="2"/>
        <v>33600.69663900305</v>
      </c>
      <c r="L16" s="79">
        <f t="shared" si="2"/>
        <v>30661.441128318758</v>
      </c>
      <c r="M16" s="79">
        <f t="shared" si="2"/>
        <v>27722.18561763447</v>
      </c>
    </row>
    <row r="17" spans="2:13" x14ac:dyDescent="0.45">
      <c r="B17" s="84" t="s">
        <v>186</v>
      </c>
      <c r="D17" s="79">
        <f t="shared" ref="D17:M17" si="3">D14*$D$8</f>
        <v>29392.555106842905</v>
      </c>
      <c r="E17" s="79">
        <f t="shared" si="3"/>
        <v>26453.299596158613</v>
      </c>
      <c r="F17" s="79">
        <f t="shared" si="3"/>
        <v>23514.044085474325</v>
      </c>
      <c r="G17" s="79">
        <f t="shared" si="3"/>
        <v>20574.788574790036</v>
      </c>
      <c r="H17" s="79">
        <f t="shared" si="3"/>
        <v>17635.533064105744</v>
      </c>
      <c r="I17" s="79">
        <f t="shared" si="3"/>
        <v>14696.277553421456</v>
      </c>
      <c r="J17" s="79">
        <f t="shared" si="3"/>
        <v>11757.022042737166</v>
      </c>
      <c r="K17" s="79">
        <f t="shared" si="3"/>
        <v>8817.7665320528758</v>
      </c>
      <c r="L17" s="79">
        <f t="shared" si="3"/>
        <v>5878.5110213685857</v>
      </c>
      <c r="M17" s="79">
        <f t="shared" si="3"/>
        <v>2939.2555106842951</v>
      </c>
    </row>
    <row r="18" spans="2:13" x14ac:dyDescent="0.45">
      <c r="B18" s="84" t="s">
        <v>187</v>
      </c>
      <c r="D18" s="79">
        <f t="shared" ref="D18:M18" si="4">IF(D14-D15&lt;0,0,D14-D15)</f>
        <v>223046.37096255156</v>
      </c>
      <c r="E18" s="79">
        <f t="shared" si="4"/>
        <v>198263.4408556014</v>
      </c>
      <c r="F18" s="79">
        <f t="shared" si="4"/>
        <v>173480.51074865123</v>
      </c>
      <c r="G18" s="79">
        <f t="shared" si="4"/>
        <v>148697.58064170106</v>
      </c>
      <c r="H18" s="79">
        <f t="shared" si="4"/>
        <v>123914.65053475089</v>
      </c>
      <c r="I18" s="79">
        <f t="shared" si="4"/>
        <v>99131.720427800727</v>
      </c>
      <c r="J18" s="79">
        <f t="shared" si="4"/>
        <v>74348.79032085056</v>
      </c>
      <c r="K18" s="79">
        <f>IF(K14-K15&lt;0,0,K14-K15)</f>
        <v>49565.860213900385</v>
      </c>
      <c r="L18" s="79">
        <f t="shared" si="4"/>
        <v>24782.930106950211</v>
      </c>
      <c r="M18" s="79">
        <f t="shared" si="4"/>
        <v>3.637978807091713E-11</v>
      </c>
    </row>
  </sheetData>
  <mergeCells count="1">
    <mergeCell ref="D6:F6"/>
  </mergeCells>
  <dataValidations count="1">
    <dataValidation type="list" allowBlank="1" showInputMessage="1" showErrorMessage="1" sqref="E8:F8" xr:uid="{382CF226-5163-4A17-A9CD-4207B4817D6C}">
      <formula1>"0,1,2,3,4,5,6,7,8,9,10"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8CF3-CB93-4533-9DE6-A559E0DF3AAB}">
  <sheetPr>
    <tabColor theme="6"/>
  </sheetPr>
  <dimension ref="A1:AI31"/>
  <sheetViews>
    <sheetView showGridLines="0" workbookViewId="0">
      <pane ySplit="1" topLeftCell="A2" activePane="bottomLeft" state="frozen"/>
      <selection activeCell="C22" sqref="C22"/>
      <selection pane="bottomLeft" activeCell="G9" sqref="G9"/>
    </sheetView>
  </sheetViews>
  <sheetFormatPr defaultRowHeight="14.25" x14ac:dyDescent="0.45"/>
  <cols>
    <col min="1" max="1" width="18.19921875" bestFit="1" customWidth="1"/>
    <col min="2" max="2" width="18.86328125" customWidth="1"/>
    <col min="3" max="3" width="9.86328125" bestFit="1" customWidth="1"/>
    <col min="4" max="4" width="10.9296875" customWidth="1"/>
    <col min="5" max="5" width="9.86328125" customWidth="1"/>
    <col min="6" max="9" width="14.265625" customWidth="1"/>
    <col min="10" max="10" width="11.265625" customWidth="1"/>
    <col min="11" max="11" width="14.265625" customWidth="1"/>
    <col min="12" max="12" width="17.1328125" bestFit="1" customWidth="1"/>
    <col min="13" max="13" width="17.1328125" customWidth="1"/>
    <col min="14" max="14" width="7.46484375" customWidth="1"/>
    <col min="15" max="16" width="14.265625" customWidth="1"/>
  </cols>
  <sheetData>
    <row r="1" spans="1:35" ht="18" x14ac:dyDescent="0.55000000000000004">
      <c r="A1" s="225" t="s">
        <v>214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104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</row>
    <row r="2" spans="1:35" x14ac:dyDescent="0.45">
      <c r="O2" s="104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spans="1:35" ht="28.5" x14ac:dyDescent="0.45">
      <c r="A3" s="85" t="s">
        <v>216</v>
      </c>
      <c r="B3" s="29" t="s">
        <v>258</v>
      </c>
      <c r="C3" s="29" t="s">
        <v>240</v>
      </c>
      <c r="D3" s="33" t="s">
        <v>245</v>
      </c>
      <c r="E3" s="29"/>
      <c r="G3" t="s">
        <v>241</v>
      </c>
      <c r="I3" t="s">
        <v>260</v>
      </c>
      <c r="J3" t="s">
        <v>40</v>
      </c>
      <c r="K3" t="s">
        <v>259</v>
      </c>
      <c r="O3" s="104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1:35" x14ac:dyDescent="0.45">
      <c r="A4" s="105" t="str">
        <f>CHOSEN_GREEN</f>
        <v>Lettuce</v>
      </c>
      <c r="B4" s="105">
        <f>YEAR_GREEN_PRODUCTION</f>
        <v>35706.441031378738</v>
      </c>
      <c r="C4" s="117">
        <f>VLOOKUP(A4,$A$17:$C$31,3,0)</f>
        <v>5</v>
      </c>
      <c r="D4" s="78">
        <f>PRODUCTIVITY_FACTOR</f>
        <v>1.1100000000000001</v>
      </c>
      <c r="E4" s="29"/>
      <c r="F4" t="s">
        <v>17</v>
      </c>
      <c r="G4" s="123">
        <f>B4*(1-B8)*C4*(1+D4)</f>
        <v>357867.80523699342</v>
      </c>
      <c r="I4" t="s">
        <v>165</v>
      </c>
      <c r="J4" s="122">
        <f>(G4+G6)*B10</f>
        <v>329300.01742485893</v>
      </c>
      <c r="K4" s="122">
        <f>G4+G6</f>
        <v>548833.36237476487</v>
      </c>
      <c r="O4" s="104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</row>
    <row r="5" spans="1:35" x14ac:dyDescent="0.45">
      <c r="A5" s="85" t="s">
        <v>215</v>
      </c>
      <c r="C5" s="118"/>
      <c r="E5" s="29"/>
      <c r="G5" s="124"/>
      <c r="I5" t="s">
        <v>253</v>
      </c>
      <c r="J5" s="122">
        <f>J4*B11</f>
        <v>21404.501132615831</v>
      </c>
      <c r="K5" s="122">
        <f>K4*B11</f>
        <v>35674.16855435972</v>
      </c>
      <c r="O5" s="104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5" x14ac:dyDescent="0.45">
      <c r="A6" s="105" t="str">
        <f>CHOSEN_FISH</f>
        <v>Tilapia</v>
      </c>
      <c r="B6" s="105">
        <f>YEAR_FISH_PRODUCTION</f>
        <v>20101.637593449625</v>
      </c>
      <c r="C6" s="117">
        <f>VLOOKUP(A6,$A$17:$C$31,3,0)</f>
        <v>10</v>
      </c>
      <c r="D6" s="29"/>
      <c r="E6" s="29"/>
      <c r="F6" t="s">
        <v>0</v>
      </c>
      <c r="G6" s="123">
        <f>B6*(1-B9)*C6</f>
        <v>190965.55713777142</v>
      </c>
      <c r="O6" s="18"/>
      <c r="P6" s="18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</row>
    <row r="7" spans="1:35" x14ac:dyDescent="0.45">
      <c r="D7" s="29"/>
      <c r="E7" s="29"/>
      <c r="F7" t="s">
        <v>161</v>
      </c>
      <c r="G7" s="123">
        <f>B13+B14</f>
        <v>0</v>
      </c>
      <c r="O7" s="18"/>
      <c r="P7" s="18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</row>
    <row r="8" spans="1:35" x14ac:dyDescent="0.45">
      <c r="A8" t="s">
        <v>238</v>
      </c>
      <c r="B8" s="172">
        <v>0.05</v>
      </c>
      <c r="D8" s="29"/>
      <c r="E8" s="29"/>
      <c r="O8" s="18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</row>
    <row r="9" spans="1:35" x14ac:dyDescent="0.45">
      <c r="A9" t="s">
        <v>239</v>
      </c>
      <c r="B9" s="172">
        <v>0.05</v>
      </c>
      <c r="D9" s="29"/>
      <c r="E9" s="29"/>
      <c r="J9" s="17"/>
      <c r="O9" s="18"/>
      <c r="P9" s="18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</row>
    <row r="10" spans="1:35" x14ac:dyDescent="0.45">
      <c r="A10" t="s">
        <v>434</v>
      </c>
      <c r="B10" s="172">
        <v>0.6</v>
      </c>
      <c r="C10" s="85" t="s">
        <v>332</v>
      </c>
      <c r="D10" s="29"/>
      <c r="E10" s="29"/>
      <c r="J10" s="17"/>
      <c r="O10" s="18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5" x14ac:dyDescent="0.45">
      <c r="A11" t="s">
        <v>253</v>
      </c>
      <c r="B11" s="172">
        <v>6.5000000000000002E-2</v>
      </c>
      <c r="D11" s="29"/>
      <c r="E11" s="29"/>
      <c r="J11" s="17"/>
      <c r="O11" s="18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5" x14ac:dyDescent="0.45">
      <c r="A12" t="s">
        <v>254</v>
      </c>
      <c r="B12" s="172">
        <v>0.15</v>
      </c>
      <c r="D12" s="29"/>
      <c r="E12" s="29"/>
      <c r="J12" s="17"/>
      <c r="O12" s="18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5" x14ac:dyDescent="0.45">
      <c r="A13" t="s">
        <v>242</v>
      </c>
      <c r="B13" s="125">
        <v>0</v>
      </c>
      <c r="C13" s="177" t="s">
        <v>243</v>
      </c>
      <c r="D13" s="29"/>
      <c r="E13" s="29"/>
      <c r="J13" s="17"/>
      <c r="O13" s="18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</row>
    <row r="14" spans="1:35" x14ac:dyDescent="0.45">
      <c r="A14" t="s">
        <v>395</v>
      </c>
      <c r="B14" s="125">
        <v>0</v>
      </c>
      <c r="C14" s="177" t="s">
        <v>243</v>
      </c>
      <c r="D14" s="29"/>
      <c r="E14" s="29"/>
      <c r="J14" s="17"/>
      <c r="O14" s="18"/>
      <c r="P14" s="18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</row>
    <row r="15" spans="1:35" x14ac:dyDescent="0.45">
      <c r="D15" s="29"/>
      <c r="E15" s="29"/>
      <c r="J15" s="17"/>
      <c r="O15" s="18"/>
      <c r="P15" s="18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</row>
    <row r="16" spans="1:35" ht="14.65" thickBot="1" x14ac:dyDescent="0.5">
      <c r="A16" s="107" t="s">
        <v>17</v>
      </c>
      <c r="B16" s="119"/>
      <c r="C16" s="119" t="s">
        <v>240</v>
      </c>
      <c r="D16" s="29"/>
      <c r="E16" s="29"/>
      <c r="J16" s="97"/>
      <c r="L16" s="97"/>
      <c r="M16" s="97"/>
      <c r="O16" s="104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</row>
    <row r="17" spans="1:35" ht="14.65" thickTop="1" x14ac:dyDescent="0.45">
      <c r="A17" t="s">
        <v>209</v>
      </c>
      <c r="B17" s="116"/>
      <c r="C17" s="116">
        <v>3</v>
      </c>
      <c r="D17" s="116"/>
      <c r="E17" s="116"/>
      <c r="J17" s="97"/>
      <c r="L17" s="97"/>
      <c r="M17" s="97"/>
      <c r="O17" s="104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5" x14ac:dyDescent="0.45">
      <c r="A18" t="s">
        <v>20</v>
      </c>
      <c r="B18" s="85" t="s">
        <v>406</v>
      </c>
      <c r="C18" s="116">
        <v>5</v>
      </c>
      <c r="D18" s="116"/>
      <c r="E18" s="116"/>
      <c r="J18" s="97"/>
      <c r="L18" s="97"/>
      <c r="M18" s="97"/>
      <c r="O18" s="104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</row>
    <row r="19" spans="1:35" x14ac:dyDescent="0.45">
      <c r="A19" t="s">
        <v>397</v>
      </c>
      <c r="B19" s="85" t="s">
        <v>407</v>
      </c>
      <c r="C19" s="116">
        <v>10</v>
      </c>
      <c r="D19" s="116"/>
      <c r="E19" s="116"/>
      <c r="J19" s="97"/>
      <c r="L19" s="97"/>
      <c r="M19" s="97"/>
      <c r="O19" s="104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</row>
    <row r="20" spans="1:35" x14ac:dyDescent="0.45">
      <c r="A20" t="s">
        <v>398</v>
      </c>
      <c r="B20" s="85" t="s">
        <v>407</v>
      </c>
      <c r="C20" s="116">
        <v>10</v>
      </c>
      <c r="D20" s="116"/>
      <c r="E20" s="116"/>
      <c r="J20" s="97"/>
      <c r="L20" s="97"/>
      <c r="M20" s="97"/>
      <c r="O20" s="104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</row>
    <row r="21" spans="1:35" x14ac:dyDescent="0.45">
      <c r="A21" t="s">
        <v>399</v>
      </c>
      <c r="B21" s="85" t="s">
        <v>407</v>
      </c>
      <c r="C21" s="116">
        <v>10</v>
      </c>
      <c r="D21" s="116"/>
      <c r="E21" s="116"/>
      <c r="J21" s="97"/>
      <c r="L21" s="97"/>
      <c r="M21" s="97"/>
      <c r="O21" s="104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</row>
    <row r="22" spans="1:35" x14ac:dyDescent="0.45">
      <c r="A22" t="s">
        <v>400</v>
      </c>
      <c r="B22" s="85" t="s">
        <v>408</v>
      </c>
      <c r="C22" s="116">
        <v>15</v>
      </c>
      <c r="D22" s="116"/>
      <c r="E22" s="116"/>
      <c r="J22" s="97"/>
      <c r="L22" s="97"/>
      <c r="M22" s="97"/>
      <c r="O22" s="104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</row>
    <row r="23" spans="1:35" x14ac:dyDescent="0.45">
      <c r="A23" t="s">
        <v>401</v>
      </c>
      <c r="B23" s="85" t="s">
        <v>406</v>
      </c>
      <c r="C23" s="116">
        <v>5</v>
      </c>
      <c r="D23" s="116"/>
      <c r="E23" s="116"/>
      <c r="J23" s="97"/>
      <c r="L23" s="97"/>
      <c r="M23" s="97"/>
      <c r="O23" s="104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</row>
    <row r="24" spans="1:35" x14ac:dyDescent="0.45">
      <c r="A24" t="s">
        <v>402</v>
      </c>
      <c r="B24" s="85" t="s">
        <v>411</v>
      </c>
      <c r="C24" s="116">
        <v>15</v>
      </c>
      <c r="D24" s="116"/>
      <c r="E24" s="116"/>
      <c r="J24" s="97"/>
      <c r="L24" s="97"/>
      <c r="M24" s="97"/>
      <c r="O24" s="104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</row>
    <row r="25" spans="1:35" x14ac:dyDescent="0.45">
      <c r="A25" t="s">
        <v>403</v>
      </c>
      <c r="B25" s="85" t="s">
        <v>409</v>
      </c>
      <c r="C25" s="116">
        <v>30</v>
      </c>
      <c r="D25" s="116"/>
      <c r="E25" s="116"/>
      <c r="J25" s="97"/>
      <c r="L25" s="97"/>
      <c r="M25" s="97"/>
      <c r="O25" s="104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</row>
    <row r="26" spans="1:35" ht="18" x14ac:dyDescent="0.55000000000000004">
      <c r="A26" t="s">
        <v>404</v>
      </c>
      <c r="B26" s="85" t="s">
        <v>410</v>
      </c>
      <c r="C26" s="120">
        <v>15</v>
      </c>
      <c r="D26" s="120"/>
      <c r="E26" s="120"/>
      <c r="J26" s="22"/>
      <c r="L26" s="22"/>
      <c r="M26" s="22"/>
      <c r="N26" s="22"/>
      <c r="O26" s="19"/>
      <c r="P26" s="100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</row>
    <row r="27" spans="1:35" ht="18" x14ac:dyDescent="0.55000000000000004">
      <c r="A27" t="s">
        <v>405</v>
      </c>
      <c r="B27" s="85" t="s">
        <v>412</v>
      </c>
      <c r="C27" s="120">
        <v>12</v>
      </c>
      <c r="D27" s="120"/>
      <c r="E27" s="120"/>
      <c r="J27" s="22"/>
      <c r="K27" s="22"/>
      <c r="L27" s="22"/>
      <c r="M27" s="22"/>
      <c r="N27" s="22"/>
      <c r="O27" s="19"/>
      <c r="P27" s="100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</row>
    <row r="28" spans="1:35" ht="18" x14ac:dyDescent="0.55000000000000004">
      <c r="B28" s="85"/>
      <c r="C28" s="120"/>
      <c r="D28" s="120"/>
      <c r="E28" s="120"/>
      <c r="J28" s="22"/>
      <c r="K28" s="22"/>
      <c r="L28" s="22"/>
      <c r="M28" s="22"/>
      <c r="N28" s="22"/>
      <c r="O28" s="19"/>
      <c r="P28" s="100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</row>
    <row r="29" spans="1:35" ht="18.399999999999999" thickBot="1" x14ac:dyDescent="0.6">
      <c r="A29" s="107" t="s">
        <v>218</v>
      </c>
      <c r="B29" s="121"/>
      <c r="C29" s="119" t="s">
        <v>240</v>
      </c>
      <c r="D29" s="120"/>
      <c r="E29" s="120"/>
      <c r="J29" s="22"/>
      <c r="K29" s="22"/>
      <c r="L29" s="22"/>
      <c r="M29" s="22"/>
      <c r="N29" s="22"/>
      <c r="O29" s="19"/>
      <c r="P29" s="100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</row>
    <row r="30" spans="1:35" ht="18.399999999999999" thickTop="1" x14ac:dyDescent="0.55000000000000004">
      <c r="A30" t="s">
        <v>19</v>
      </c>
      <c r="B30" s="120"/>
      <c r="C30" s="120">
        <v>10</v>
      </c>
      <c r="D30" s="120"/>
      <c r="E30" s="120"/>
      <c r="J30" s="22"/>
      <c r="K30" s="22"/>
      <c r="L30" s="22"/>
      <c r="M30" s="22"/>
      <c r="N30" s="22"/>
      <c r="O30" s="19"/>
      <c r="P30" s="100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</row>
    <row r="31" spans="1:35" ht="18" x14ac:dyDescent="0.55000000000000004">
      <c r="A31" t="s">
        <v>135</v>
      </c>
      <c r="B31" s="120"/>
      <c r="C31" s="120">
        <v>15</v>
      </c>
      <c r="D31" s="120"/>
      <c r="E31" s="120"/>
      <c r="J31" s="22"/>
      <c r="K31" s="22"/>
      <c r="L31" s="22"/>
      <c r="M31" s="22"/>
      <c r="N31" s="22"/>
      <c r="O31" s="19"/>
      <c r="P31" s="100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89F9-E285-49E8-A176-D389467E789D}">
  <sheetPr>
    <tabColor rgb="FFC00000"/>
  </sheetPr>
  <dimension ref="A1:I74"/>
  <sheetViews>
    <sheetView showGridLines="0" zoomScale="70" zoomScaleNormal="70" workbookViewId="0">
      <pane ySplit="1" topLeftCell="A2" activePane="bottomLeft" state="frozen"/>
      <selection activeCell="C22" sqref="C22"/>
      <selection pane="bottomLeft" activeCell="G26" sqref="G26"/>
    </sheetView>
  </sheetViews>
  <sheetFormatPr defaultRowHeight="14.25" x14ac:dyDescent="0.45"/>
  <cols>
    <col min="1" max="1" width="27.53125" bestFit="1" customWidth="1"/>
    <col min="2" max="9" width="16.06640625" customWidth="1"/>
  </cols>
  <sheetData>
    <row r="1" spans="1:9" ht="18" x14ac:dyDescent="0.55000000000000004">
      <c r="A1" s="62" t="s">
        <v>210</v>
      </c>
      <c r="B1" s="62"/>
      <c r="C1" s="62"/>
      <c r="D1" s="62"/>
      <c r="E1" s="62"/>
      <c r="F1" s="63"/>
      <c r="G1" s="63"/>
      <c r="H1" s="63"/>
      <c r="I1" s="63"/>
    </row>
    <row r="2" spans="1:9" x14ac:dyDescent="0.45">
      <c r="A2" s="199"/>
      <c r="B2" s="199"/>
      <c r="C2" s="199"/>
      <c r="D2" s="199"/>
      <c r="E2" s="199"/>
      <c r="F2" s="199"/>
      <c r="G2" s="199"/>
      <c r="H2" s="199"/>
      <c r="I2" s="199"/>
    </row>
    <row r="3" spans="1:9" s="199" customFormat="1" ht="15.75" x14ac:dyDescent="0.5">
      <c r="A3" s="69" t="s">
        <v>154</v>
      </c>
      <c r="I3" s="122">
        <f>SUMPRODUCT(B5:B17,D5:D17)</f>
        <v>151450.29999999999</v>
      </c>
    </row>
    <row r="4" spans="1:9" s="199" customFormat="1" x14ac:dyDescent="0.45">
      <c r="A4" s="206" t="s">
        <v>60</v>
      </c>
      <c r="B4" s="2" t="s">
        <v>333</v>
      </c>
      <c r="C4" s="2" t="s">
        <v>114</v>
      </c>
      <c r="D4" s="2" t="s">
        <v>115</v>
      </c>
      <c r="E4" s="2" t="s">
        <v>114</v>
      </c>
      <c r="F4" s="203"/>
      <c r="H4" s="200"/>
      <c r="I4" s="203"/>
    </row>
    <row r="5" spans="1:9" s="199" customFormat="1" x14ac:dyDescent="0.45">
      <c r="A5" s="23" t="s">
        <v>116</v>
      </c>
      <c r="B5" s="125">
        <v>10000</v>
      </c>
      <c r="C5" t="s">
        <v>334</v>
      </c>
      <c r="D5" s="5">
        <v>12</v>
      </c>
      <c r="E5" t="s">
        <v>140</v>
      </c>
      <c r="F5" s="201"/>
      <c r="H5" s="201"/>
      <c r="I5" s="201"/>
    </row>
    <row r="6" spans="1:9" s="199" customFormat="1" x14ac:dyDescent="0.45">
      <c r="A6" s="23" t="s">
        <v>118</v>
      </c>
      <c r="B6" s="125">
        <v>2000</v>
      </c>
      <c r="C6" t="s">
        <v>334</v>
      </c>
      <c r="D6" s="5">
        <v>12</v>
      </c>
      <c r="E6" t="s">
        <v>140</v>
      </c>
    </row>
    <row r="7" spans="1:9" s="199" customFormat="1" x14ac:dyDescent="0.45">
      <c r="A7" s="23" t="s">
        <v>119</v>
      </c>
      <c r="B7" s="125">
        <v>0</v>
      </c>
      <c r="C7" t="s">
        <v>334</v>
      </c>
      <c r="D7" s="5">
        <v>12</v>
      </c>
      <c r="E7" t="s">
        <v>140</v>
      </c>
    </row>
    <row r="8" spans="1:9" s="199" customFormat="1" x14ac:dyDescent="0.45">
      <c r="A8" s="23" t="s">
        <v>120</v>
      </c>
      <c r="B8" s="125">
        <v>300</v>
      </c>
      <c r="C8" t="s">
        <v>335</v>
      </c>
      <c r="D8" s="5">
        <v>10</v>
      </c>
      <c r="E8" t="s">
        <v>141</v>
      </c>
    </row>
    <row r="9" spans="1:9" s="199" customFormat="1" x14ac:dyDescent="0.45">
      <c r="A9" s="23" t="s">
        <v>122</v>
      </c>
      <c r="B9" s="125">
        <v>20</v>
      </c>
      <c r="C9" t="s">
        <v>335</v>
      </c>
      <c r="D9" s="5">
        <v>20</v>
      </c>
      <c r="E9" t="s">
        <v>141</v>
      </c>
    </row>
    <row r="10" spans="1:9" s="199" customFormat="1" x14ac:dyDescent="0.45">
      <c r="A10" s="23" t="s">
        <v>123</v>
      </c>
      <c r="B10" s="125">
        <v>34.06</v>
      </c>
      <c r="C10" t="s">
        <v>335</v>
      </c>
      <c r="D10" s="5">
        <v>5</v>
      </c>
      <c r="E10" t="s">
        <v>141</v>
      </c>
    </row>
    <row r="11" spans="1:9" s="199" customFormat="1" x14ac:dyDescent="0.45">
      <c r="A11" s="23" t="s">
        <v>124</v>
      </c>
      <c r="B11" s="125">
        <v>20</v>
      </c>
      <c r="C11" t="s">
        <v>335</v>
      </c>
      <c r="D11" s="5">
        <v>5</v>
      </c>
      <c r="E11" t="s">
        <v>141</v>
      </c>
    </row>
    <row r="12" spans="1:9" s="199" customFormat="1" x14ac:dyDescent="0.45">
      <c r="A12" s="23" t="s">
        <v>125</v>
      </c>
      <c r="B12" s="125">
        <v>25</v>
      </c>
      <c r="C12" t="s">
        <v>335</v>
      </c>
      <c r="D12" s="5">
        <v>52</v>
      </c>
      <c r="E12" t="s">
        <v>141</v>
      </c>
    </row>
    <row r="13" spans="1:9" s="199" customFormat="1" x14ac:dyDescent="0.45">
      <c r="A13" s="23" t="s">
        <v>126</v>
      </c>
      <c r="B13" s="125">
        <v>0</v>
      </c>
      <c r="C13" t="s">
        <v>335</v>
      </c>
      <c r="D13" s="5">
        <v>8760</v>
      </c>
      <c r="E13" t="s">
        <v>141</v>
      </c>
      <c r="F13" s="207"/>
    </row>
    <row r="14" spans="1:9" s="199" customFormat="1" x14ac:dyDescent="0.45">
      <c r="A14" s="23" t="s">
        <v>127</v>
      </c>
      <c r="B14" s="125">
        <v>20</v>
      </c>
      <c r="C14" t="s">
        <v>335</v>
      </c>
      <c r="D14" s="5">
        <v>52</v>
      </c>
      <c r="E14" t="s">
        <v>141</v>
      </c>
    </row>
    <row r="15" spans="1:9" s="199" customFormat="1" x14ac:dyDescent="0.45">
      <c r="A15" s="23" t="s">
        <v>128</v>
      </c>
      <c r="B15" s="125">
        <v>20</v>
      </c>
      <c r="C15" t="s">
        <v>335</v>
      </c>
      <c r="D15" s="5">
        <v>48</v>
      </c>
      <c r="E15" t="s">
        <v>141</v>
      </c>
    </row>
    <row r="16" spans="1:9" s="199" customFormat="1" x14ac:dyDescent="0.45">
      <c r="A16" s="23" t="s">
        <v>129</v>
      </c>
      <c r="B16" s="125">
        <v>20</v>
      </c>
      <c r="C16" t="s">
        <v>335</v>
      </c>
      <c r="D16" s="5">
        <v>12</v>
      </c>
      <c r="E16" t="s">
        <v>141</v>
      </c>
    </row>
    <row r="17" spans="1:9" s="199" customFormat="1" x14ac:dyDescent="0.45">
      <c r="A17" s="23" t="s">
        <v>130</v>
      </c>
      <c r="B17" s="125">
        <v>20</v>
      </c>
      <c r="C17" t="s">
        <v>335</v>
      </c>
      <c r="D17" s="5">
        <v>12</v>
      </c>
      <c r="E17" t="s">
        <v>141</v>
      </c>
    </row>
    <row r="18" spans="1:9" s="199" customFormat="1" x14ac:dyDescent="0.45">
      <c r="A18" s="23"/>
      <c r="B18" s="125"/>
      <c r="C18"/>
      <c r="D18" s="5"/>
      <c r="E18"/>
    </row>
    <row r="19" spans="1:9" s="199" customFormat="1" ht="15.75" x14ac:dyDescent="0.5">
      <c r="A19" s="69" t="s">
        <v>133</v>
      </c>
      <c r="B19" s="125"/>
      <c r="C19"/>
      <c r="D19" s="5"/>
      <c r="E19"/>
    </row>
    <row r="20" spans="1:9" s="199" customFormat="1" x14ac:dyDescent="0.45">
      <c r="A20" s="206" t="s">
        <v>368</v>
      </c>
      <c r="B20" s="125"/>
      <c r="C20"/>
      <c r="D20" s="5"/>
      <c r="E20"/>
    </row>
    <row r="21" spans="1:9" s="199" customFormat="1" x14ac:dyDescent="0.45">
      <c r="A21" s="23" t="s">
        <v>131</v>
      </c>
      <c r="B21" s="125">
        <v>1500</v>
      </c>
      <c r="C21" t="s">
        <v>440</v>
      </c>
      <c r="D21" s="5">
        <v>12</v>
      </c>
      <c r="E21" t="s">
        <v>140</v>
      </c>
      <c r="F21" s="199">
        <f>ROUND(HYDROPONIC_AREA/100,0)</f>
        <v>7</v>
      </c>
      <c r="G21" s="199" t="s">
        <v>441</v>
      </c>
      <c r="I21" s="204" t="s">
        <v>378</v>
      </c>
    </row>
    <row r="22" spans="1:9" s="199" customFormat="1" x14ac:dyDescent="0.45">
      <c r="A22" s="23" t="s">
        <v>132</v>
      </c>
      <c r="B22" s="125">
        <v>3000</v>
      </c>
      <c r="C22" t="s">
        <v>440</v>
      </c>
      <c r="D22" s="5">
        <v>12</v>
      </c>
      <c r="E22" t="s">
        <v>140</v>
      </c>
      <c r="F22" s="199">
        <f>ROUND(RAS_AREA/100,0)</f>
        <v>2</v>
      </c>
      <c r="G22" s="199" t="s">
        <v>441</v>
      </c>
      <c r="I22" s="122">
        <f>C23+SUM(C25:C35)+E69+D73+SUM(E41:H41)+SUM(E62:H62)</f>
        <v>242606.38521788147</v>
      </c>
    </row>
    <row r="23" spans="1:9" s="199" customFormat="1" x14ac:dyDescent="0.45">
      <c r="A23" s="199" t="s">
        <v>212</v>
      </c>
      <c r="C23" s="79">
        <f>B21*D21*F21+B22*D22*F22</f>
        <v>198000</v>
      </c>
    </row>
    <row r="24" spans="1:9" s="199" customFormat="1" ht="13.15" x14ac:dyDescent="0.4"/>
    <row r="25" spans="1:9" s="199" customFormat="1" x14ac:dyDescent="0.45">
      <c r="A25" s="215" t="s">
        <v>369</v>
      </c>
      <c r="B25" s="208">
        <v>0</v>
      </c>
      <c r="C25" s="79">
        <f>B25*D61</f>
        <v>0</v>
      </c>
    </row>
    <row r="26" spans="1:9" s="199" customFormat="1" x14ac:dyDescent="0.45">
      <c r="A26" s="215" t="s">
        <v>379</v>
      </c>
      <c r="B26" s="208">
        <v>50</v>
      </c>
      <c r="C26" s="79">
        <f>B26*FISH_TANK</f>
        <v>850</v>
      </c>
    </row>
    <row r="27" spans="1:9" s="199" customFormat="1" x14ac:dyDescent="0.45">
      <c r="A27" s="215" t="s">
        <v>371</v>
      </c>
      <c r="B27" s="208">
        <v>0</v>
      </c>
      <c r="C27" s="79">
        <f>B27*FISH_TANK</f>
        <v>0</v>
      </c>
    </row>
    <row r="28" spans="1:9" s="199" customFormat="1" x14ac:dyDescent="0.45">
      <c r="A28" s="215" t="s">
        <v>370</v>
      </c>
      <c r="B28" s="208">
        <v>0</v>
      </c>
      <c r="C28" s="79">
        <f>B28*FISH_TANK</f>
        <v>0</v>
      </c>
    </row>
    <row r="29" spans="1:9" s="199" customFormat="1" x14ac:dyDescent="0.45">
      <c r="A29" s="215" t="s">
        <v>376</v>
      </c>
      <c r="B29" s="208">
        <v>0</v>
      </c>
      <c r="C29" s="79">
        <f>B29*FISH_TANK</f>
        <v>0</v>
      </c>
    </row>
    <row r="30" spans="1:9" s="199" customFormat="1" x14ac:dyDescent="0.45">
      <c r="A30" s="215" t="s">
        <v>373</v>
      </c>
      <c r="B30" s="208">
        <v>0</v>
      </c>
      <c r="C30" s="79">
        <f>B30*FISH_TANK</f>
        <v>0</v>
      </c>
    </row>
    <row r="31" spans="1:9" x14ac:dyDescent="0.45">
      <c r="A31" s="215" t="s">
        <v>372</v>
      </c>
      <c r="B31" s="208">
        <v>0</v>
      </c>
      <c r="C31" s="79">
        <f>B31*$D$40</f>
        <v>0</v>
      </c>
      <c r="E31" s="199"/>
    </row>
    <row r="32" spans="1:9" x14ac:dyDescent="0.45">
      <c r="A32" s="215" t="s">
        <v>374</v>
      </c>
      <c r="B32" s="208">
        <v>0.15</v>
      </c>
      <c r="C32" s="79">
        <f>B32*$D$40</f>
        <v>2567.928978284087</v>
      </c>
      <c r="E32" s="199"/>
    </row>
    <row r="33" spans="1:9" x14ac:dyDescent="0.45">
      <c r="A33" s="215" t="s">
        <v>375</v>
      </c>
      <c r="B33" s="208">
        <v>0</v>
      </c>
      <c r="C33" s="79">
        <f>B33*$D$40</f>
        <v>0</v>
      </c>
      <c r="E33" s="199"/>
      <c r="F33" s="17"/>
    </row>
    <row r="34" spans="1:9" x14ac:dyDescent="0.45">
      <c r="A34" s="189" t="s">
        <v>364</v>
      </c>
      <c r="B34" s="208">
        <v>10</v>
      </c>
      <c r="C34" s="79">
        <f>B34*System_Parameters!O4</f>
        <v>8500</v>
      </c>
      <c r="F34" s="17"/>
    </row>
    <row r="35" spans="1:9" x14ac:dyDescent="0.45">
      <c r="A35" s="215" t="s">
        <v>367</v>
      </c>
      <c r="B35" s="208">
        <v>0</v>
      </c>
      <c r="C35" s="79">
        <f>B35</f>
        <v>0</v>
      </c>
      <c r="F35" s="17"/>
    </row>
    <row r="36" spans="1:9" x14ac:dyDescent="0.45">
      <c r="F36" s="17"/>
      <c r="G36" s="99"/>
      <c r="I36" s="17"/>
    </row>
    <row r="37" spans="1:9" x14ac:dyDescent="0.45">
      <c r="G37" s="99"/>
      <c r="I37" s="99"/>
    </row>
    <row r="38" spans="1:9" x14ac:dyDescent="0.45">
      <c r="C38" s="16"/>
      <c r="G38" s="99"/>
      <c r="H38" s="99"/>
      <c r="I38" s="99"/>
    </row>
    <row r="39" spans="1:9" ht="28.5" x14ac:dyDescent="0.45">
      <c r="A39" s="85" t="s">
        <v>216</v>
      </c>
      <c r="B39" t="s">
        <v>256</v>
      </c>
      <c r="C39" s="16" t="s">
        <v>361</v>
      </c>
      <c r="D39" s="17" t="s">
        <v>211</v>
      </c>
      <c r="E39" s="29" t="s">
        <v>338</v>
      </c>
      <c r="F39" s="17" t="s">
        <v>337</v>
      </c>
      <c r="G39" s="200" t="s">
        <v>366</v>
      </c>
      <c r="H39" s="200" t="s">
        <v>365</v>
      </c>
    </row>
    <row r="40" spans="1:9" x14ac:dyDescent="0.45">
      <c r="A40" s="105" t="str">
        <f>CHOSEN_GREEN</f>
        <v>Lettuce</v>
      </c>
      <c r="B40" s="105">
        <f>HYDROPONIC_AREA</f>
        <v>684.78106087575657</v>
      </c>
      <c r="C40" s="105">
        <f>System_Parameters!D14</f>
        <v>25</v>
      </c>
      <c r="D40" s="105">
        <f>C40*B40</f>
        <v>17119.526521893913</v>
      </c>
      <c r="E40" s="111">
        <f>VLOOKUP($A40,$A$42:$H$52,COLUMN(),0)</f>
        <v>0.04</v>
      </c>
      <c r="F40" s="111">
        <f t="shared" ref="F40:H40" si="0">VLOOKUP($A40,$A$42:$H$52,COLUMN(),0)</f>
        <v>1.4E-2</v>
      </c>
      <c r="G40" s="111">
        <f t="shared" si="0"/>
        <v>0.1</v>
      </c>
      <c r="H40" s="111">
        <f t="shared" si="0"/>
        <v>0.2</v>
      </c>
    </row>
    <row r="41" spans="1:9" x14ac:dyDescent="0.45">
      <c r="E41" s="79">
        <f>E40*D40</f>
        <v>684.78106087575657</v>
      </c>
      <c r="F41" s="79">
        <f>F40*D40</f>
        <v>239.67337130651478</v>
      </c>
      <c r="G41" s="79">
        <f>G40*D40</f>
        <v>1711.9526521893913</v>
      </c>
      <c r="H41" s="79">
        <f>H40*D40</f>
        <v>3423.9053043787826</v>
      </c>
      <c r="I41" s="79">
        <f>SUM(E41:H41)</f>
        <v>6060.3123887504453</v>
      </c>
    </row>
    <row r="42" spans="1:9" x14ac:dyDescent="0.45">
      <c r="A42" t="s">
        <v>209</v>
      </c>
      <c r="B42" s="116"/>
      <c r="E42" s="213">
        <v>0.5</v>
      </c>
      <c r="F42" s="208">
        <f>1.4*23</f>
        <v>32.199999999999996</v>
      </c>
      <c r="G42" s="208">
        <v>5</v>
      </c>
      <c r="H42" s="208">
        <v>2</v>
      </c>
    </row>
    <row r="43" spans="1:9" x14ac:dyDescent="0.45">
      <c r="A43" t="s">
        <v>20</v>
      </c>
      <c r="B43" s="85" t="s">
        <v>406</v>
      </c>
      <c r="E43" s="213">
        <v>0.04</v>
      </c>
      <c r="F43" s="208">
        <v>1.4E-2</v>
      </c>
      <c r="G43" s="208">
        <v>0.1</v>
      </c>
      <c r="H43" s="208">
        <v>0.2</v>
      </c>
    </row>
    <row r="44" spans="1:9" x14ac:dyDescent="0.45">
      <c r="A44" t="s">
        <v>397</v>
      </c>
      <c r="B44" s="85" t="s">
        <v>407</v>
      </c>
      <c r="E44" s="213">
        <v>0.04</v>
      </c>
      <c r="F44" s="208">
        <v>1.4E-2</v>
      </c>
      <c r="G44" s="208">
        <v>0.1</v>
      </c>
      <c r="H44" s="208">
        <v>0.2</v>
      </c>
    </row>
    <row r="45" spans="1:9" x14ac:dyDescent="0.45">
      <c r="A45" t="s">
        <v>398</v>
      </c>
      <c r="B45" s="85" t="s">
        <v>407</v>
      </c>
      <c r="E45" s="213">
        <v>0.04</v>
      </c>
      <c r="F45" s="208">
        <v>1.4E-2</v>
      </c>
      <c r="G45" s="208">
        <v>0.1</v>
      </c>
      <c r="H45" s="208">
        <v>0.2</v>
      </c>
    </row>
    <row r="46" spans="1:9" x14ac:dyDescent="0.45">
      <c r="A46" t="s">
        <v>399</v>
      </c>
      <c r="B46" s="85" t="s">
        <v>407</v>
      </c>
      <c r="E46" s="213">
        <v>0.04</v>
      </c>
      <c r="F46" s="208">
        <v>1.4E-2</v>
      </c>
      <c r="G46" s="208">
        <v>0.1</v>
      </c>
      <c r="H46" s="208">
        <v>0.2</v>
      </c>
    </row>
    <row r="47" spans="1:9" x14ac:dyDescent="0.45">
      <c r="A47" t="s">
        <v>400</v>
      </c>
      <c r="B47" s="85" t="s">
        <v>408</v>
      </c>
      <c r="E47" s="213">
        <v>0.04</v>
      </c>
      <c r="F47" s="208">
        <v>1.4E-2</v>
      </c>
      <c r="G47" s="208">
        <v>0.1</v>
      </c>
      <c r="H47" s="208">
        <v>0.2</v>
      </c>
    </row>
    <row r="48" spans="1:9" x14ac:dyDescent="0.45">
      <c r="A48" t="s">
        <v>401</v>
      </c>
      <c r="B48" s="85" t="s">
        <v>406</v>
      </c>
      <c r="E48" s="213">
        <v>0.04</v>
      </c>
      <c r="F48" s="208">
        <v>1.4E-2</v>
      </c>
      <c r="G48" s="208">
        <v>0.1</v>
      </c>
      <c r="H48" s="208">
        <v>0.2</v>
      </c>
    </row>
    <row r="49" spans="1:9" x14ac:dyDescent="0.45">
      <c r="A49" t="s">
        <v>402</v>
      </c>
      <c r="B49" s="85" t="s">
        <v>411</v>
      </c>
      <c r="E49" s="213">
        <v>0.04</v>
      </c>
      <c r="F49" s="208">
        <v>1.4E-2</v>
      </c>
      <c r="G49" s="208">
        <v>0.1</v>
      </c>
      <c r="H49" s="208">
        <v>0.2</v>
      </c>
    </row>
    <row r="50" spans="1:9" x14ac:dyDescent="0.45">
      <c r="A50" t="s">
        <v>403</v>
      </c>
      <c r="B50" s="85" t="s">
        <v>409</v>
      </c>
      <c r="E50" s="213">
        <v>0.04</v>
      </c>
      <c r="F50" s="208">
        <v>1.4E-2</v>
      </c>
      <c r="G50" s="208">
        <v>0.1</v>
      </c>
      <c r="H50" s="208">
        <v>0.2</v>
      </c>
    </row>
    <row r="51" spans="1:9" x14ac:dyDescent="0.45">
      <c r="A51" t="s">
        <v>404</v>
      </c>
      <c r="B51" s="85" t="s">
        <v>410</v>
      </c>
      <c r="E51" s="213">
        <v>0.04</v>
      </c>
      <c r="F51" s="208">
        <v>1.4E-2</v>
      </c>
      <c r="G51" s="208">
        <v>0.1</v>
      </c>
      <c r="H51" s="208">
        <v>0.2</v>
      </c>
    </row>
    <row r="52" spans="1:9" x14ac:dyDescent="0.45">
      <c r="A52" t="s">
        <v>405</v>
      </c>
      <c r="B52" s="85" t="s">
        <v>412</v>
      </c>
      <c r="E52" s="213">
        <v>0.04</v>
      </c>
      <c r="F52" s="208">
        <v>1.4E-2</v>
      </c>
      <c r="G52" s="208">
        <v>0.1</v>
      </c>
      <c r="H52" s="208">
        <v>0.2</v>
      </c>
    </row>
    <row r="53" spans="1:9" x14ac:dyDescent="0.45">
      <c r="E53" s="120"/>
      <c r="F53" s="214"/>
      <c r="G53" s="214"/>
      <c r="H53" s="214"/>
    </row>
    <row r="54" spans="1:9" x14ac:dyDescent="0.45">
      <c r="E54" s="120"/>
      <c r="F54" s="214"/>
      <c r="G54" s="214"/>
      <c r="H54" s="214"/>
    </row>
    <row r="55" spans="1:9" x14ac:dyDescent="0.45">
      <c r="E55" s="120"/>
      <c r="F55" s="214"/>
      <c r="G55" s="214"/>
      <c r="H55" s="214"/>
    </row>
    <row r="56" spans="1:9" x14ac:dyDescent="0.45">
      <c r="E56" s="120"/>
      <c r="F56" s="214"/>
      <c r="G56" s="214"/>
      <c r="H56" s="214"/>
    </row>
    <row r="57" spans="1:9" x14ac:dyDescent="0.45">
      <c r="E57" s="120"/>
      <c r="F57" s="214"/>
      <c r="G57" s="214"/>
      <c r="H57" s="214"/>
    </row>
    <row r="58" spans="1:9" x14ac:dyDescent="0.45">
      <c r="E58" s="120"/>
      <c r="F58" s="214"/>
      <c r="G58" s="214"/>
      <c r="H58" s="214"/>
    </row>
    <row r="59" spans="1:9" ht="14.25" customHeight="1" x14ac:dyDescent="0.45">
      <c r="B59" s="211"/>
      <c r="C59" s="212"/>
      <c r="D59" s="101"/>
      <c r="E59" s="101"/>
      <c r="F59" s="102"/>
      <c r="G59" s="102"/>
      <c r="H59" s="99"/>
    </row>
    <row r="60" spans="1:9" ht="28.5" x14ac:dyDescent="0.45">
      <c r="A60" s="85" t="s">
        <v>215</v>
      </c>
      <c r="B60" t="s">
        <v>257</v>
      </c>
      <c r="C60" s="29" t="s">
        <v>360</v>
      </c>
      <c r="D60" s="17" t="s">
        <v>211</v>
      </c>
      <c r="E60" s="29" t="s">
        <v>338</v>
      </c>
      <c r="F60" s="17" t="s">
        <v>1</v>
      </c>
      <c r="G60" s="200" t="s">
        <v>366</v>
      </c>
      <c r="H60" s="200" t="s">
        <v>365</v>
      </c>
    </row>
    <row r="61" spans="1:9" x14ac:dyDescent="0.45">
      <c r="A61" s="105" t="str">
        <f>CHOSEN_FISH</f>
        <v>Tilapia</v>
      </c>
      <c r="B61" s="105">
        <f>System_Parameters!P10</f>
        <v>137.68244927020291</v>
      </c>
      <c r="C61" s="105">
        <f>System_Parameters!D14</f>
        <v>25</v>
      </c>
      <c r="D61" s="105">
        <f>C61*B61</f>
        <v>3442.0612317550726</v>
      </c>
      <c r="E61" s="111">
        <f>VLOOKUP($A61,$A$63:$H$64,COLUMN(),0)</f>
        <v>0.16</v>
      </c>
      <c r="F61" s="111">
        <f>VLOOKUP($A61,$A$63:$H$64,COLUMN(),0)</f>
        <v>2</v>
      </c>
      <c r="G61" s="111">
        <f>VLOOKUP($A61,$A$63:$H$64,COLUMN(),0)</f>
        <v>0.5</v>
      </c>
      <c r="H61" s="111">
        <f>VLOOKUP($A61,$A$63:$H$64,COLUMN(),0)</f>
        <v>1</v>
      </c>
    </row>
    <row r="62" spans="1:9" x14ac:dyDescent="0.45">
      <c r="A62" s="5"/>
      <c r="C62" s="5"/>
      <c r="D62" s="5"/>
      <c r="E62" s="79">
        <f>E61*D61</f>
        <v>550.72979708081164</v>
      </c>
      <c r="F62" s="79">
        <f>F61*D61</f>
        <v>6884.1224635101453</v>
      </c>
      <c r="G62" s="79">
        <f>G61*D61</f>
        <v>1721.0306158775363</v>
      </c>
      <c r="H62" s="79">
        <f>H61*D61</f>
        <v>3442.0612317550726</v>
      </c>
      <c r="I62" s="79">
        <f>SUM(E62:H62)</f>
        <v>12597.944108223566</v>
      </c>
    </row>
    <row r="63" spans="1:9" x14ac:dyDescent="0.45">
      <c r="A63" s="101" t="s">
        <v>19</v>
      </c>
      <c r="E63" s="213">
        <v>0.16</v>
      </c>
      <c r="F63" s="208">
        <v>2</v>
      </c>
      <c r="G63" s="208">
        <v>0.5</v>
      </c>
      <c r="H63" s="208">
        <v>1</v>
      </c>
    </row>
    <row r="64" spans="1:9" x14ac:dyDescent="0.45">
      <c r="A64" t="s">
        <v>135</v>
      </c>
      <c r="E64" s="213">
        <v>0.16</v>
      </c>
      <c r="F64" s="208">
        <v>3</v>
      </c>
      <c r="G64" s="208">
        <v>1</v>
      </c>
      <c r="H64" s="208">
        <v>1</v>
      </c>
    </row>
    <row r="65" spans="1:9" x14ac:dyDescent="0.45">
      <c r="I65" s="99"/>
    </row>
    <row r="68" spans="1:9" ht="28.5" x14ac:dyDescent="0.45">
      <c r="A68" s="85" t="s">
        <v>362</v>
      </c>
      <c r="B68" s="202" t="s">
        <v>336</v>
      </c>
      <c r="C68" s="29" t="s">
        <v>363</v>
      </c>
      <c r="D68" s="29" t="s">
        <v>442</v>
      </c>
    </row>
    <row r="69" spans="1:9" x14ac:dyDescent="0.45">
      <c r="A69" s="105" t="str">
        <f>Framework!M11</f>
        <v>South America</v>
      </c>
      <c r="B69" s="111">
        <f>VLOOKUP(A69,Parameters!A54:G60,3,0)</f>
        <v>0.20300000000000001</v>
      </c>
      <c r="C69" s="105">
        <f>System_Parameters!O43</f>
        <v>6348.4299481243361</v>
      </c>
      <c r="D69" s="105">
        <f>Investment!F5</f>
        <v>60986.601281594878</v>
      </c>
      <c r="E69" s="79">
        <f>(C69+D69)*B69</f>
        <v>13669.011339633002</v>
      </c>
    </row>
    <row r="72" spans="1:9" ht="28.5" x14ac:dyDescent="0.45">
      <c r="B72" s="202" t="s">
        <v>359</v>
      </c>
      <c r="C72" s="29" t="s">
        <v>377</v>
      </c>
    </row>
    <row r="73" spans="1:9" x14ac:dyDescent="0.45">
      <c r="B73" s="111">
        <f>VLOOKUP(A69,Parameters!A54:G60,6,0)</f>
        <v>0.8</v>
      </c>
      <c r="C73" s="105">
        <f>System_Parameters!Q45</f>
        <v>451.48550373798508</v>
      </c>
      <c r="D73" s="79">
        <f>C73*B73</f>
        <v>361.18840299038811</v>
      </c>
    </row>
    <row r="74" spans="1:9" x14ac:dyDescent="0.45">
      <c r="B74" s="99"/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18</vt:i4>
      </vt:variant>
    </vt:vector>
  </HeadingPairs>
  <TitlesOfParts>
    <vt:vector size="31" baseType="lpstr">
      <vt:lpstr>kWh Estimativa</vt:lpstr>
      <vt:lpstr>Model_test</vt:lpstr>
      <vt:lpstr>Alternatives</vt:lpstr>
      <vt:lpstr>Parameters</vt:lpstr>
      <vt:lpstr>Multispecies_test</vt:lpstr>
      <vt:lpstr>User_Parameters</vt:lpstr>
      <vt:lpstr>Location_Data</vt:lpstr>
      <vt:lpstr>Framework</vt:lpstr>
      <vt:lpstr>System_Parameters</vt:lpstr>
      <vt:lpstr>Investment</vt:lpstr>
      <vt:lpstr>Funding</vt:lpstr>
      <vt:lpstr>Revenues</vt:lpstr>
      <vt:lpstr>Costs</vt:lpstr>
      <vt:lpstr>CHOSEN_FISH</vt:lpstr>
      <vt:lpstr>CHOSEN_GREEN</vt:lpstr>
      <vt:lpstr>CHOSEN_REGION</vt:lpstr>
      <vt:lpstr>COST_OF_CAPITAL</vt:lpstr>
      <vt:lpstr>DEBT_INTEREST_RATE</vt:lpstr>
      <vt:lpstr>FISH_TANK</vt:lpstr>
      <vt:lpstr>HYDROPONIC_AREA</vt:lpstr>
      <vt:lpstr>HYDROPONICS_UNIT</vt:lpstr>
      <vt:lpstr>MAINTENANCE_PERCENTAGE</vt:lpstr>
      <vt:lpstr>Investment!PARTS_PERCENTAGE</vt:lpstr>
      <vt:lpstr>Investment!PRODUCTIVITY_FACTOR</vt:lpstr>
      <vt:lpstr>PRODUCTIVITY_FACTOR</vt:lpstr>
      <vt:lpstr>RAS_AREA</vt:lpstr>
      <vt:lpstr>RAS_VOLUME</vt:lpstr>
      <vt:lpstr>TOTAL_AREA</vt:lpstr>
      <vt:lpstr>WACC</vt:lpstr>
      <vt:lpstr>YEAR_FISH_PRODUCTION</vt:lpstr>
      <vt:lpstr>YEAR_GREEN_PRODUCTION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Silva</dc:creator>
  <cp:lastModifiedBy>Lorena Silva</cp:lastModifiedBy>
  <dcterms:created xsi:type="dcterms:W3CDTF">2025-02-04T17:34:01Z</dcterms:created>
  <dcterms:modified xsi:type="dcterms:W3CDTF">2026-07-07T19:08:02Z</dcterms:modified>
</cp:coreProperties>
</file>